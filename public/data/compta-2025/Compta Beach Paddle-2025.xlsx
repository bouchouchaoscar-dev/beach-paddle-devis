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ar/Desktop/"/>
    </mc:Choice>
  </mc:AlternateContent>
  <xr:revisionPtr revIDLastSave="0" documentId="8_{1FAACFFB-3F89-734C-A53D-A8D5D8EF9738}" xr6:coauthVersionLast="47" xr6:coauthVersionMax="47" xr10:uidLastSave="{00000000-0000-0000-0000-000000000000}"/>
  <bookViews>
    <workbookView xWindow="0" yWindow="660" windowWidth="29400" windowHeight="17780" firstSheet="2" activeTab="6" xr2:uid="{45FB9F2D-8C71-A74E-B5D2-1653BFF3DB61}"/>
  </bookViews>
  <sheets>
    <sheet name="Avril" sheetId="3" r:id="rId1"/>
    <sheet name="Mai" sheetId="2" r:id="rId2"/>
    <sheet name="Juin" sheetId="1" r:id="rId3"/>
    <sheet name="Juillet" sheetId="4" r:id="rId4"/>
    <sheet name="Aout" sheetId="5" r:id="rId5"/>
    <sheet name="Septembre" sheetId="6" r:id="rId6"/>
    <sheet name="Octobr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5" l="1"/>
  <c r="T37" i="5"/>
  <c r="T37" i="4"/>
  <c r="T37" i="7"/>
  <c r="M37" i="7"/>
  <c r="F37" i="7"/>
  <c r="G41" i="7"/>
  <c r="O43" i="7"/>
  <c r="T37" i="6"/>
  <c r="M37" i="6"/>
  <c r="F37" i="6"/>
  <c r="G41" i="6"/>
  <c r="O43" i="6"/>
  <c r="F37" i="5"/>
  <c r="M37" i="4"/>
  <c r="F37" i="4"/>
  <c r="T37" i="3"/>
  <c r="M37" i="3"/>
  <c r="F37" i="3"/>
  <c r="T37" i="2"/>
  <c r="M37" i="2"/>
  <c r="F37" i="2"/>
  <c r="F37" i="1"/>
  <c r="M37" i="1"/>
  <c r="T37" i="1"/>
  <c r="G41" i="1"/>
  <c r="O43" i="1"/>
  <c r="G41" i="2"/>
  <c r="O43" i="2" s="1"/>
  <c r="G41" i="3"/>
  <c r="O43" i="3"/>
  <c r="G41" i="5" l="1"/>
  <c r="O43" i="5" s="1"/>
  <c r="G41" i="4"/>
  <c r="O43" i="4" s="1"/>
</calcChain>
</file>

<file path=xl/sharedStrings.xml><?xml version="1.0" encoding="utf-8"?>
<sst xmlns="http://schemas.openxmlformats.org/spreadsheetml/2006/main" count="454" uniqueCount="142">
  <si>
    <t>COMPTABILITÉ BEACH PADDLE</t>
  </si>
  <si>
    <t>CHARGES DIVERSES</t>
  </si>
  <si>
    <t>CHARGES METRO</t>
  </si>
  <si>
    <t>CHARGES EMPLOYÉS</t>
  </si>
  <si>
    <t>Objet</t>
  </si>
  <si>
    <t>Date</t>
  </si>
  <si>
    <t>Montant</t>
  </si>
  <si>
    <t>Employé</t>
  </si>
  <si>
    <t>Nombre d'heures</t>
  </si>
  <si>
    <t>Carrefour : Glaces</t>
  </si>
  <si>
    <t>Boissons, farine, bobines, divers</t>
  </si>
  <si>
    <t xml:space="preserve">JEANNE </t>
  </si>
  <si>
    <t>Boissons, nutela, saucisses</t>
  </si>
  <si>
    <t>LEON</t>
  </si>
  <si>
    <t>Leroy Merlin : Passerelle en bois</t>
  </si>
  <si>
    <t>Boissons, farines, lait, cidre etc..</t>
  </si>
  <si>
    <t>LOLO</t>
  </si>
  <si>
    <t>Bricoman : Enrouleur</t>
  </si>
  <si>
    <t>G20 : Café, beurre, œuf…</t>
  </si>
  <si>
    <t>G20 : Beurre, lait, repas midi</t>
  </si>
  <si>
    <t>Carrefour city : Boissons, orange Spritz</t>
  </si>
  <si>
    <t>Central Pizza : Vins (18 blancs, 18 rosés)</t>
  </si>
  <si>
    <t>Carrefour : Glaces, Bières</t>
  </si>
  <si>
    <t>Coockies Alain</t>
  </si>
  <si>
    <t>Leroy Merlin : Karcher</t>
  </si>
  <si>
    <t>G20: Oeuf, cidre, lait etc..</t>
  </si>
  <si>
    <t>Leroy Merlin : Disq acier, décapant, cadenas</t>
  </si>
  <si>
    <t>TOTAL CHARGES DIVERSES</t>
  </si>
  <si>
    <t>TOTAL CHARGES METRO</t>
  </si>
  <si>
    <t>TOTAL CHARGES EMPLOYÉS</t>
  </si>
  <si>
    <t>TOTAL CHARGES</t>
  </si>
  <si>
    <t>PROFIT</t>
  </si>
  <si>
    <t>CA</t>
  </si>
  <si>
    <t>Carrefour : Glaces, bières</t>
  </si>
  <si>
    <t>Boissons, saucisses, nutella...</t>
  </si>
  <si>
    <t xml:space="preserve">Coockies Alain </t>
  </si>
  <si>
    <t>Pailles, divers</t>
  </si>
  <si>
    <t>JEANNE</t>
  </si>
  <si>
    <t>Carrefour : Beurre à rembourser Léon</t>
  </si>
  <si>
    <t>Boissons, lait, farine, saucisses, sauces etc..</t>
  </si>
  <si>
    <t>Carrefour : Glaces, café</t>
  </si>
  <si>
    <t>Beurre, saucisse, gobelets..</t>
  </si>
  <si>
    <t>Intermarché : Oeuf/Sandwich midi</t>
  </si>
  <si>
    <t>Boissons, beurre, oeuf, gobelets...</t>
  </si>
  <si>
    <t>Boulangerie : Repas midi rembourseer Léon</t>
  </si>
  <si>
    <t>Boulangerie : Baguettes hotdog rembourser Léon</t>
  </si>
  <si>
    <t>Intermarché : Glaces, chips, confiture</t>
  </si>
  <si>
    <t>MASSON</t>
  </si>
  <si>
    <t xml:space="preserve">Boulangerie : Repas midiet pti dej </t>
  </si>
  <si>
    <t>Boulangerie : Pain hotdog</t>
  </si>
  <si>
    <t>Essence polo</t>
  </si>
  <si>
    <t>Intermarché : Oeufs, huile</t>
  </si>
  <si>
    <t>Carrefour : Glaces, bonbons</t>
  </si>
  <si>
    <t>Boulangerie : Baguette Hot dog, sandwich</t>
  </si>
  <si>
    <t>Carrefour : Chips, bières, café</t>
  </si>
  <si>
    <t>RAPHAEL</t>
  </si>
  <si>
    <t>Carrefour : Bonbons, glaces, café</t>
  </si>
  <si>
    <t>Castorama : Pate jointe</t>
  </si>
  <si>
    <t>Boulangerie : Pain hotdog, déjeuner</t>
  </si>
  <si>
    <t>Carrefour : Bières, saucisses, chips etc</t>
  </si>
  <si>
    <t>Batterie annexe electrique</t>
  </si>
  <si>
    <t>Carrefour : Bières, bonbons</t>
  </si>
  <si>
    <t xml:space="preserve">Carrefour : Glaces </t>
  </si>
  <si>
    <t>Leclerc : Bières, sirop, chips</t>
  </si>
  <si>
    <t>Déjeuner midi Bo Bun Nem</t>
  </si>
  <si>
    <t>Boissons, chips, nutella, farine, gobelets..</t>
  </si>
  <si>
    <t>Total : Essence polo</t>
  </si>
  <si>
    <t>Lait, oeufs, saucisses, boissons</t>
  </si>
  <si>
    <t>Carrefour : Glaces, lait</t>
  </si>
  <si>
    <t>Pierre crêpière</t>
  </si>
  <si>
    <t>Boissons, chips, café..</t>
  </si>
  <si>
    <t>Carrefour : Bières</t>
  </si>
  <si>
    <t>Boissons, saucisses</t>
  </si>
  <si>
    <t>Boulangerie : Petit dej, pain hot dog</t>
  </si>
  <si>
    <t>Farine, oeuf, lait, proseco, beurre</t>
  </si>
  <si>
    <t xml:space="preserve">Déjeuner : bo bun </t>
  </si>
  <si>
    <t>Boissons</t>
  </si>
  <si>
    <t>Vins : 18 rosés, 18 blancs</t>
  </si>
  <si>
    <t>VICTOR</t>
  </si>
  <si>
    <t>Influenceur : vidéo Instagram</t>
  </si>
  <si>
    <t>Coockie Alain</t>
  </si>
  <si>
    <t>GABIN</t>
  </si>
  <si>
    <t>Intermarché : Farine sarasin, fromages, jambons</t>
  </si>
  <si>
    <t>Boulangeries : Vienoiserie CE, petit dej et dej</t>
  </si>
  <si>
    <t>Franprix : Salades CE</t>
  </si>
  <si>
    <t>Pain hot-dog, opetit dej t dej</t>
  </si>
  <si>
    <t>TRISTAN</t>
  </si>
  <si>
    <t xml:space="preserve">Coocki Alain </t>
  </si>
  <si>
    <t>Boulangerie : Pain hotdog, petit dej, dej</t>
  </si>
  <si>
    <t>Carrefour : Glacees, bières</t>
  </si>
  <si>
    <t xml:space="preserve">Leclerc : Bières </t>
  </si>
  <si>
    <t>Pompe paddle</t>
  </si>
  <si>
    <t>Boulangerie : Vienoiserie, baguette hotdog</t>
  </si>
  <si>
    <t>Boulangerie : Sandwich, dejeuner</t>
  </si>
  <si>
    <t>Boulangerie : Pain hotdog dej</t>
  </si>
  <si>
    <t>Leclerc : Glaces</t>
  </si>
  <si>
    <t>Leroy Merlin</t>
  </si>
  <si>
    <t>Gobelets, eau, serviettes, boissons</t>
  </si>
  <si>
    <t>Décathlon : Pagaies, gilets</t>
  </si>
  <si>
    <t>Boissons, pailles, café</t>
  </si>
  <si>
    <t>INtermarché : Prosecco, déjeuner, confiture</t>
  </si>
  <si>
    <t>Boissons, farine, oeuf..</t>
  </si>
  <si>
    <t>Boulangerie : Pain hot dog, dejeuner</t>
  </si>
  <si>
    <t xml:space="preserve">Total : Essence polo </t>
  </si>
  <si>
    <t>Leclerc : Bières</t>
  </si>
  <si>
    <t>Central pizza : Vins</t>
  </si>
  <si>
    <t>Carrefour : Bières, glaces</t>
  </si>
  <si>
    <t>Boulangerie : Pain hot dog, déjeuner</t>
  </si>
  <si>
    <t>6.5</t>
  </si>
  <si>
    <t>5.5</t>
  </si>
  <si>
    <t>Leroy Merlin : Colles</t>
  </si>
  <si>
    <t>VITOR</t>
  </si>
  <si>
    <t>Carrefour : Glaces, chips</t>
  </si>
  <si>
    <t>Intermarché : Prosecco, déjeuner, confiture</t>
  </si>
  <si>
    <t>Boulangerie : Pain Hot dog</t>
  </si>
  <si>
    <t xml:space="preserve">Déjeuner </t>
  </si>
  <si>
    <t>Intermarché : Chips, apérol, chantilly</t>
  </si>
  <si>
    <t>3.5</t>
  </si>
  <si>
    <t>Esso : Essence</t>
  </si>
  <si>
    <t>TISTAN</t>
  </si>
  <si>
    <t>Boissons, lait, oeuf etc..</t>
  </si>
  <si>
    <t>Dej, pain hotdog</t>
  </si>
  <si>
    <t>Eau, serviettes</t>
  </si>
  <si>
    <t>Boissons, lait, farine, oeuf</t>
  </si>
  <si>
    <t>VERONIKA</t>
  </si>
  <si>
    <t>Carrefour : Glaces, lait, chips</t>
  </si>
  <si>
    <t>Boissons, saucisses, café, chips..</t>
  </si>
  <si>
    <t>Esso : Essence polo</t>
  </si>
  <si>
    <t>Boissons, confitures, cronet crêpe etc..</t>
  </si>
  <si>
    <t>Boisson, lait, farine, oeuf, café etc&lt;;;</t>
  </si>
  <si>
    <t>Boissons, gobelet, éponges, javel etc..</t>
  </si>
  <si>
    <t>Dej pain hotdog</t>
  </si>
  <si>
    <t>10.5</t>
  </si>
  <si>
    <t>Dej</t>
  </si>
  <si>
    <t>Carrefour : glaces, lait</t>
  </si>
  <si>
    <t>Carrefour dej boulangerie</t>
  </si>
  <si>
    <t>Essence polo, lave glace</t>
  </si>
  <si>
    <t>Dej, pain hot dog</t>
  </si>
  <si>
    <t>PRIME</t>
  </si>
  <si>
    <t>Saucisses, chips, limoncello, sarti</t>
  </si>
  <si>
    <t>Dejj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</si>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</sst>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C]d\-mmm;@"/>
    <numFmt numFmtId="166" formatCode="#,##0.00\ &quot;€&quot;"/>
    <numFmt numFmtId="167" formatCode="_-* #,##0.00\ [$€-40C]_-;\-* #,##0.00\ [$€-40C]_-;_-* &quot;-&quot;??\ [$€-40C]_-;_-@_-"/>
  </numFmts>
  <fonts count="21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72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i/>
      <sz val="72"/>
      <color theme="1"/>
      <name val="Calibri"/>
      <family val="2"/>
      <scheme val="minor"/>
    </font>
    <font>
      <b/>
      <u/>
      <sz val="72"/>
      <color rgb="FFFF0000"/>
      <name val="Calibri"/>
      <family val="2"/>
      <scheme val="minor"/>
    </font>
    <font>
      <sz val="2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22"/>
      <color rgb="FF0053FF"/>
      <name val="Calibri"/>
      <family val="2"/>
      <scheme val="minor"/>
    </font>
    <font>
      <b/>
      <sz val="22"/>
      <color rgb="FF0053FF"/>
      <name val="Calibri"/>
      <family val="2"/>
      <scheme val="minor"/>
    </font>
    <font>
      <b/>
      <sz val="22"/>
      <color rgb="FFF171FF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E00"/>
        <bgColor indexed="64"/>
      </patternFill>
    </fill>
    <fill>
      <patternFill patternType="solid">
        <fgColor rgb="FFFF1B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6" fontId="4" fillId="0" borderId="17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1" xfId="0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165" fontId="19" fillId="0" borderId="9" xfId="0" applyNumberFormat="1" applyFont="1" applyBorder="1" applyAlignment="1">
      <alignment horizontal="center" vertical="center"/>
    </xf>
    <xf numFmtId="166" fontId="19" fillId="0" borderId="13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166" fontId="12" fillId="0" borderId="13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6" fillId="0" borderId="12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166" fontId="2" fillId="9" borderId="20" xfId="0" applyNumberFormat="1" applyFont="1" applyFill="1" applyBorder="1" applyAlignment="1">
      <alignment horizontal="center" vertical="center" wrapText="1"/>
    </xf>
    <xf numFmtId="166" fontId="2" fillId="9" borderId="21" xfId="0" applyNumberFormat="1" applyFont="1" applyFill="1" applyBorder="1" applyAlignment="1">
      <alignment horizontal="center" vertical="center" wrapText="1"/>
    </xf>
    <xf numFmtId="166" fontId="2" fillId="9" borderId="19" xfId="0" applyNumberFormat="1" applyFont="1" applyFill="1" applyBorder="1" applyAlignment="1">
      <alignment horizontal="center" vertical="center" wrapText="1"/>
    </xf>
    <xf numFmtId="166" fontId="2" fillId="9" borderId="22" xfId="0" applyNumberFormat="1" applyFont="1" applyFill="1" applyBorder="1" applyAlignment="1">
      <alignment horizontal="center" vertical="center" wrapText="1"/>
    </xf>
    <xf numFmtId="166" fontId="2" fillId="9" borderId="23" xfId="0" applyNumberFormat="1" applyFont="1" applyFill="1" applyBorder="1" applyAlignment="1">
      <alignment horizontal="center" vertical="center" wrapText="1"/>
    </xf>
    <xf numFmtId="166" fontId="2" fillId="9" borderId="2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66" fontId="18" fillId="0" borderId="1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6" fontId="18" fillId="0" borderId="25" xfId="0" applyNumberFormat="1" applyFont="1" applyBorder="1" applyAlignment="1">
      <alignment horizontal="center" vertical="center"/>
    </xf>
    <xf numFmtId="166" fontId="18" fillId="0" borderId="26" xfId="0" applyNumberFormat="1" applyFont="1" applyBorder="1" applyAlignment="1">
      <alignment horizontal="center" vertical="center"/>
    </xf>
    <xf numFmtId="166" fontId="18" fillId="0" borderId="27" xfId="0" applyNumberFormat="1" applyFont="1" applyBorder="1" applyAlignment="1">
      <alignment horizontal="center" vertical="center"/>
    </xf>
    <xf numFmtId="166" fontId="18" fillId="0" borderId="28" xfId="0" applyNumberFormat="1" applyFont="1" applyBorder="1" applyAlignment="1">
      <alignment horizontal="center" vertical="center"/>
    </xf>
    <xf numFmtId="166" fontId="18" fillId="0" borderId="29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71FF"/>
      <color rgb="FF0053FF"/>
      <color rgb="FFFF1B00"/>
      <color rgb="FF00FE00"/>
      <color rgb="FFFFB0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3EFD-0F61-7D46-B6F5-802B9262DD7A}">
  <dimension ref="B1:T51"/>
  <sheetViews>
    <sheetView zoomScale="46" zoomScaleNormal="46" workbookViewId="0">
      <selection activeCell="W17" sqref="W17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16.6640625" customWidth="1"/>
    <col min="10" max="10" width="18.83203125" customWidth="1"/>
    <col min="11" max="11" width="46.83203125" customWidth="1"/>
    <col min="12" max="12" width="18.332031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</cols>
  <sheetData>
    <row r="1" spans="2:20" ht="17" thickBot="1" x14ac:dyDescent="0.25"/>
    <row r="2" spans="2:20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0" ht="71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</row>
    <row r="7" spans="2:20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</row>
    <row r="8" spans="2:20" ht="38" thickBot="1" x14ac:dyDescent="0.25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</row>
    <row r="9" spans="2:20" ht="35" thickBot="1" x14ac:dyDescent="0.25">
      <c r="B9" s="125" t="s">
        <v>9</v>
      </c>
      <c r="C9" s="126"/>
      <c r="D9" s="127"/>
      <c r="E9" s="13">
        <v>45751</v>
      </c>
      <c r="F9" s="14">
        <v>130</v>
      </c>
      <c r="I9" s="125" t="s">
        <v>10</v>
      </c>
      <c r="J9" s="126"/>
      <c r="K9" s="127"/>
      <c r="L9" s="13">
        <v>45750</v>
      </c>
      <c r="M9" s="14">
        <v>201</v>
      </c>
      <c r="P9" s="133" t="s">
        <v>11</v>
      </c>
      <c r="Q9" s="134"/>
      <c r="R9" s="10">
        <v>4</v>
      </c>
      <c r="S9" s="11">
        <v>45760</v>
      </c>
      <c r="T9" s="12">
        <v>35</v>
      </c>
    </row>
    <row r="10" spans="2:20" ht="35" thickBot="1" x14ac:dyDescent="0.25">
      <c r="B10" s="125" t="s">
        <v>9</v>
      </c>
      <c r="C10" s="126"/>
      <c r="D10" s="127"/>
      <c r="E10" s="13">
        <v>45757</v>
      </c>
      <c r="F10" s="14">
        <v>85</v>
      </c>
      <c r="I10" s="125" t="s">
        <v>12</v>
      </c>
      <c r="J10" s="126"/>
      <c r="K10" s="127"/>
      <c r="L10" s="13">
        <v>45759</v>
      </c>
      <c r="M10" s="14">
        <v>250</v>
      </c>
      <c r="P10" s="133" t="s">
        <v>13</v>
      </c>
      <c r="Q10" s="134"/>
      <c r="R10" s="10">
        <v>9</v>
      </c>
      <c r="S10" s="11">
        <v>45773</v>
      </c>
      <c r="T10" s="12">
        <v>90</v>
      </c>
    </row>
    <row r="11" spans="2:20" ht="35" thickBot="1" x14ac:dyDescent="0.25">
      <c r="B11" s="125" t="s">
        <v>14</v>
      </c>
      <c r="C11" s="126"/>
      <c r="D11" s="127"/>
      <c r="E11" s="13">
        <v>45758</v>
      </c>
      <c r="F11" s="14">
        <v>37</v>
      </c>
      <c r="I11" s="125" t="s">
        <v>15</v>
      </c>
      <c r="J11" s="126"/>
      <c r="K11" s="127"/>
      <c r="L11" s="13">
        <v>45777</v>
      </c>
      <c r="M11" s="14">
        <v>309</v>
      </c>
      <c r="P11" s="133" t="s">
        <v>16</v>
      </c>
      <c r="Q11" s="134"/>
      <c r="R11" s="10">
        <v>5</v>
      </c>
      <c r="S11" s="11">
        <v>45773</v>
      </c>
      <c r="T11" s="12">
        <v>50</v>
      </c>
    </row>
    <row r="12" spans="2:20" ht="35" thickBot="1" x14ac:dyDescent="0.25">
      <c r="B12" s="125" t="s">
        <v>17</v>
      </c>
      <c r="C12" s="126"/>
      <c r="D12" s="127"/>
      <c r="E12" s="13">
        <v>45758</v>
      </c>
      <c r="F12" s="14">
        <v>55</v>
      </c>
      <c r="I12" s="125"/>
      <c r="J12" s="126"/>
      <c r="K12" s="127"/>
      <c r="L12" s="13"/>
      <c r="M12" s="14"/>
      <c r="P12" s="133" t="s">
        <v>13</v>
      </c>
      <c r="Q12" s="134"/>
      <c r="R12" s="10">
        <v>10</v>
      </c>
      <c r="S12" s="11">
        <v>45753</v>
      </c>
      <c r="T12" s="12">
        <v>100</v>
      </c>
    </row>
    <row r="13" spans="2:20" ht="35" thickBot="1" x14ac:dyDescent="0.25">
      <c r="B13" s="125" t="s">
        <v>18</v>
      </c>
      <c r="C13" s="126"/>
      <c r="D13" s="127"/>
      <c r="E13" s="13">
        <v>45758</v>
      </c>
      <c r="F13" s="14">
        <v>69</v>
      </c>
      <c r="I13" s="125"/>
      <c r="J13" s="126"/>
      <c r="K13" s="127"/>
      <c r="L13" s="13"/>
      <c r="M13" s="14"/>
      <c r="P13" s="133"/>
      <c r="Q13" s="134"/>
      <c r="R13" s="10"/>
      <c r="S13" s="11"/>
      <c r="T13" s="12"/>
    </row>
    <row r="14" spans="2:20" ht="35" thickBot="1" x14ac:dyDescent="0.25">
      <c r="B14" s="125" t="s">
        <v>19</v>
      </c>
      <c r="C14" s="126"/>
      <c r="D14" s="127"/>
      <c r="E14" s="13">
        <v>45759</v>
      </c>
      <c r="F14" s="14">
        <v>33</v>
      </c>
      <c r="I14" s="125"/>
      <c r="J14" s="126"/>
      <c r="K14" s="127"/>
      <c r="L14" s="13"/>
      <c r="M14" s="14"/>
      <c r="P14" s="131"/>
      <c r="Q14" s="132"/>
      <c r="R14" s="10"/>
      <c r="S14" s="11"/>
      <c r="T14" s="12"/>
    </row>
    <row r="15" spans="2:20" ht="35" thickBot="1" x14ac:dyDescent="0.25">
      <c r="B15" s="125" t="s">
        <v>20</v>
      </c>
      <c r="C15" s="126"/>
      <c r="D15" s="127"/>
      <c r="E15" s="13">
        <v>45766</v>
      </c>
      <c r="F15" s="14">
        <v>15</v>
      </c>
      <c r="I15" s="125"/>
      <c r="J15" s="126"/>
      <c r="K15" s="127"/>
      <c r="L15" s="13"/>
      <c r="M15" s="14"/>
      <c r="P15" s="131"/>
      <c r="Q15" s="132"/>
      <c r="R15" s="10"/>
      <c r="S15" s="11"/>
      <c r="T15" s="12"/>
    </row>
    <row r="16" spans="2:20" ht="35" thickBot="1" x14ac:dyDescent="0.25">
      <c r="B16" s="125" t="s">
        <v>9</v>
      </c>
      <c r="C16" s="126"/>
      <c r="D16" s="127"/>
      <c r="E16" s="13">
        <v>45773</v>
      </c>
      <c r="F16" s="14">
        <v>76</v>
      </c>
      <c r="I16" s="125"/>
      <c r="J16" s="126"/>
      <c r="K16" s="127"/>
      <c r="L16" s="13"/>
      <c r="M16" s="14"/>
      <c r="P16" s="131"/>
      <c r="Q16" s="132"/>
      <c r="R16" s="10"/>
      <c r="S16" s="11"/>
      <c r="T16" s="12"/>
    </row>
    <row r="17" spans="2:20" ht="35" thickBot="1" x14ac:dyDescent="0.25">
      <c r="B17" s="125" t="s">
        <v>21</v>
      </c>
      <c r="C17" s="126"/>
      <c r="D17" s="127"/>
      <c r="E17" s="13">
        <v>45777</v>
      </c>
      <c r="F17" s="14">
        <v>153</v>
      </c>
      <c r="I17" s="125"/>
      <c r="J17" s="126"/>
      <c r="K17" s="127"/>
      <c r="L17" s="13"/>
      <c r="M17" s="14"/>
      <c r="P17" s="131"/>
      <c r="Q17" s="132"/>
      <c r="R17" s="10"/>
      <c r="S17" s="11"/>
      <c r="T17" s="12"/>
    </row>
    <row r="18" spans="2:20" ht="35" thickBot="1" x14ac:dyDescent="0.25">
      <c r="B18" s="125" t="s">
        <v>22</v>
      </c>
      <c r="C18" s="126"/>
      <c r="D18" s="127"/>
      <c r="E18" s="13">
        <v>45777</v>
      </c>
      <c r="F18" s="14">
        <v>37</v>
      </c>
      <c r="I18" s="125"/>
      <c r="J18" s="126"/>
      <c r="K18" s="127"/>
      <c r="L18" s="13"/>
      <c r="M18" s="14"/>
      <c r="P18" s="131"/>
      <c r="Q18" s="132"/>
      <c r="R18" s="10"/>
      <c r="S18" s="11"/>
      <c r="T18" s="12"/>
    </row>
    <row r="19" spans="2:20" ht="35" thickBot="1" x14ac:dyDescent="0.25">
      <c r="B19" s="125" t="s">
        <v>23</v>
      </c>
      <c r="C19" s="126"/>
      <c r="D19" s="127"/>
      <c r="E19" s="13"/>
      <c r="F19" s="14">
        <v>70</v>
      </c>
      <c r="I19" s="125"/>
      <c r="J19" s="126"/>
      <c r="K19" s="127"/>
      <c r="L19" s="13"/>
      <c r="M19" s="14"/>
      <c r="P19" s="131"/>
      <c r="Q19" s="132"/>
      <c r="R19" s="10"/>
      <c r="S19" s="11"/>
      <c r="T19" s="12"/>
    </row>
    <row r="20" spans="2:20" ht="35" thickBot="1" x14ac:dyDescent="0.25">
      <c r="B20" s="125" t="s">
        <v>24</v>
      </c>
      <c r="C20" s="126"/>
      <c r="D20" s="127"/>
      <c r="E20" s="13">
        <v>45758</v>
      </c>
      <c r="F20" s="14">
        <v>209</v>
      </c>
      <c r="I20" s="125"/>
      <c r="J20" s="126"/>
      <c r="K20" s="127"/>
      <c r="L20" s="13"/>
      <c r="M20" s="14"/>
      <c r="P20" s="131"/>
      <c r="Q20" s="132"/>
      <c r="R20" s="10"/>
      <c r="S20" s="11"/>
      <c r="T20" s="12"/>
    </row>
    <row r="21" spans="2:20" ht="35" thickBot="1" x14ac:dyDescent="0.25">
      <c r="B21" s="125" t="s">
        <v>25</v>
      </c>
      <c r="C21" s="126"/>
      <c r="D21" s="127"/>
      <c r="E21" s="13">
        <v>45776</v>
      </c>
      <c r="F21" s="14">
        <v>26</v>
      </c>
      <c r="I21" s="125"/>
      <c r="J21" s="126"/>
      <c r="K21" s="127"/>
      <c r="L21" s="13"/>
      <c r="M21" s="14"/>
      <c r="P21" s="131"/>
      <c r="Q21" s="132"/>
      <c r="R21" s="10"/>
      <c r="S21" s="11"/>
      <c r="T21" s="12"/>
    </row>
    <row r="22" spans="2:20" ht="35" thickBot="1" x14ac:dyDescent="0.25">
      <c r="B22" s="125" t="s">
        <v>26</v>
      </c>
      <c r="C22" s="126"/>
      <c r="D22" s="127"/>
      <c r="E22" s="13">
        <v>45749</v>
      </c>
      <c r="F22" s="14">
        <v>55</v>
      </c>
      <c r="I22" s="125"/>
      <c r="J22" s="126"/>
      <c r="K22" s="127"/>
      <c r="L22" s="13"/>
      <c r="M22" s="14"/>
      <c r="P22" s="131"/>
      <c r="Q22" s="132"/>
      <c r="R22" s="10"/>
      <c r="S22" s="11"/>
      <c r="T22" s="12"/>
    </row>
    <row r="23" spans="2:20" ht="35" thickBot="1" x14ac:dyDescent="0.25">
      <c r="B23" s="125"/>
      <c r="C23" s="126"/>
      <c r="D23" s="127"/>
      <c r="E23" s="13"/>
      <c r="F23" s="14"/>
      <c r="I23" s="125"/>
      <c r="J23" s="126"/>
      <c r="K23" s="127"/>
      <c r="L23" s="13"/>
      <c r="M23" s="14"/>
      <c r="P23" s="131"/>
      <c r="Q23" s="132"/>
      <c r="R23" s="10"/>
      <c r="S23" s="11"/>
      <c r="T23" s="12"/>
    </row>
    <row r="24" spans="2:20" ht="35" thickBot="1" x14ac:dyDescent="0.25">
      <c r="B24" s="125"/>
      <c r="C24" s="126"/>
      <c r="D24" s="127"/>
      <c r="E24" s="13"/>
      <c r="F24" s="14"/>
      <c r="I24" s="128"/>
      <c r="J24" s="129"/>
      <c r="K24" s="130"/>
      <c r="L24" s="13"/>
      <c r="M24" s="14"/>
      <c r="P24" s="131"/>
      <c r="Q24" s="132"/>
      <c r="R24" s="10"/>
      <c r="S24" s="11"/>
      <c r="T24" s="12"/>
    </row>
    <row r="25" spans="2:20" ht="35" thickBot="1" x14ac:dyDescent="0.25">
      <c r="B25" s="125"/>
      <c r="C25" s="126"/>
      <c r="D25" s="127"/>
      <c r="E25" s="13"/>
      <c r="F25" s="14"/>
      <c r="I25" s="128"/>
      <c r="J25" s="129"/>
      <c r="K25" s="130"/>
      <c r="L25" s="13"/>
      <c r="M25" s="14"/>
      <c r="P25" s="131"/>
      <c r="Q25" s="132"/>
      <c r="R25" s="10"/>
      <c r="S25" s="11"/>
      <c r="T25" s="12"/>
    </row>
    <row r="26" spans="2:20" ht="35" thickBot="1" x14ac:dyDescent="0.25">
      <c r="B26" s="125"/>
      <c r="C26" s="126"/>
      <c r="D26" s="127"/>
      <c r="E26" s="13"/>
      <c r="F26" s="14"/>
      <c r="I26" s="128"/>
      <c r="J26" s="129"/>
      <c r="K26" s="130"/>
      <c r="L26" s="13"/>
      <c r="M26" s="14"/>
      <c r="P26" s="131"/>
      <c r="Q26" s="132"/>
      <c r="R26" s="10"/>
      <c r="S26" s="11"/>
      <c r="T26" s="12"/>
    </row>
    <row r="27" spans="2:20" ht="35" thickBot="1" x14ac:dyDescent="0.25">
      <c r="B27" s="125"/>
      <c r="C27" s="126"/>
      <c r="D27" s="127"/>
      <c r="E27" s="13"/>
      <c r="F27" s="14"/>
      <c r="I27" s="128"/>
      <c r="J27" s="129"/>
      <c r="K27" s="130"/>
      <c r="L27" s="13"/>
      <c r="M27" s="14"/>
      <c r="P27" s="131"/>
      <c r="Q27" s="132"/>
      <c r="R27" s="10"/>
      <c r="S27" s="11"/>
      <c r="T27" s="12"/>
    </row>
    <row r="28" spans="2:20" ht="35" thickBot="1" x14ac:dyDescent="0.25">
      <c r="B28" s="125"/>
      <c r="C28" s="126"/>
      <c r="D28" s="127"/>
      <c r="E28" s="13"/>
      <c r="F28" s="14"/>
      <c r="I28" s="128"/>
      <c r="J28" s="129"/>
      <c r="K28" s="130"/>
      <c r="L28" s="13"/>
      <c r="M28" s="14"/>
      <c r="P28" s="131"/>
      <c r="Q28" s="132"/>
      <c r="R28" s="10"/>
      <c r="S28" s="11"/>
      <c r="T28" s="12"/>
    </row>
    <row r="29" spans="2:20" ht="35" thickBot="1" x14ac:dyDescent="0.25">
      <c r="B29" s="125"/>
      <c r="C29" s="126"/>
      <c r="D29" s="127"/>
      <c r="E29" s="13"/>
      <c r="F29" s="14"/>
      <c r="I29" s="128"/>
      <c r="J29" s="129"/>
      <c r="K29" s="130"/>
      <c r="L29" s="13"/>
      <c r="M29" s="14"/>
      <c r="P29" s="131"/>
      <c r="Q29" s="132"/>
      <c r="R29" s="10"/>
      <c r="S29" s="11"/>
      <c r="T29" s="12"/>
    </row>
    <row r="30" spans="2:20" ht="35" thickBot="1" x14ac:dyDescent="0.25">
      <c r="B30" s="125"/>
      <c r="C30" s="126"/>
      <c r="D30" s="127"/>
      <c r="E30" s="13"/>
      <c r="F30" s="14"/>
      <c r="I30" s="128"/>
      <c r="J30" s="129"/>
      <c r="K30" s="130"/>
      <c r="L30" s="13"/>
      <c r="M30" s="14"/>
      <c r="P30" s="131"/>
      <c r="Q30" s="132"/>
      <c r="R30" s="10"/>
      <c r="S30" s="11"/>
      <c r="T30" s="12"/>
    </row>
    <row r="31" spans="2:20" ht="35" thickBot="1" x14ac:dyDescent="0.25">
      <c r="B31" s="125"/>
      <c r="C31" s="126"/>
      <c r="D31" s="127"/>
      <c r="E31" s="13"/>
      <c r="F31" s="14"/>
      <c r="I31" s="128"/>
      <c r="J31" s="129"/>
      <c r="K31" s="130"/>
      <c r="L31" s="13"/>
      <c r="M31" s="14"/>
      <c r="P31" s="131"/>
      <c r="Q31" s="132"/>
      <c r="R31" s="10"/>
      <c r="S31" s="11"/>
      <c r="T31" s="12"/>
    </row>
    <row r="32" spans="2:20" ht="35" thickBot="1" x14ac:dyDescent="0.25">
      <c r="B32" s="125"/>
      <c r="C32" s="126"/>
      <c r="D32" s="127"/>
      <c r="E32" s="13"/>
      <c r="F32" s="14"/>
      <c r="I32" s="128"/>
      <c r="J32" s="129"/>
      <c r="K32" s="130"/>
      <c r="L32" s="13"/>
      <c r="M32" s="14"/>
      <c r="P32" s="131"/>
      <c r="Q32" s="132"/>
      <c r="R32" s="10"/>
      <c r="S32" s="11"/>
      <c r="T32" s="12"/>
    </row>
    <row r="33" spans="2:20" ht="35" thickBot="1" x14ac:dyDescent="0.25">
      <c r="B33" s="125"/>
      <c r="C33" s="126"/>
      <c r="D33" s="127"/>
      <c r="E33" s="13"/>
      <c r="F33" s="14"/>
      <c r="I33" s="128"/>
      <c r="J33" s="129"/>
      <c r="K33" s="130"/>
      <c r="L33" s="13"/>
      <c r="M33" s="14"/>
      <c r="P33" s="131"/>
      <c r="Q33" s="132"/>
      <c r="R33" s="10"/>
      <c r="S33" s="11"/>
      <c r="T33" s="12"/>
    </row>
    <row r="34" spans="2:20" ht="35" thickBot="1" x14ac:dyDescent="0.25">
      <c r="B34" s="125"/>
      <c r="C34" s="126"/>
      <c r="D34" s="127"/>
      <c r="E34" s="13"/>
      <c r="F34" s="14"/>
      <c r="I34" s="128"/>
      <c r="J34" s="129"/>
      <c r="K34" s="130"/>
      <c r="L34" s="13"/>
      <c r="M34" s="14"/>
      <c r="P34" s="131"/>
      <c r="Q34" s="132"/>
      <c r="R34" s="10"/>
      <c r="S34" s="11"/>
      <c r="T34" s="12"/>
    </row>
    <row r="35" spans="2:20" ht="35" thickBot="1" x14ac:dyDescent="0.25">
      <c r="B35" s="125"/>
      <c r="C35" s="126"/>
      <c r="D35" s="127"/>
      <c r="E35" s="13"/>
      <c r="F35" s="14"/>
      <c r="I35" s="128"/>
      <c r="J35" s="129"/>
      <c r="K35" s="130"/>
      <c r="L35" s="13"/>
      <c r="M35" s="14"/>
      <c r="P35" s="131"/>
      <c r="Q35" s="132"/>
      <c r="R35" s="10"/>
      <c r="S35" s="11"/>
      <c r="T35" s="12"/>
    </row>
    <row r="36" spans="2:20" ht="35" thickBot="1" x14ac:dyDescent="0.25">
      <c r="B36" s="125"/>
      <c r="C36" s="126"/>
      <c r="D36" s="127"/>
      <c r="E36" s="13"/>
      <c r="F36" s="14"/>
      <c r="I36" s="128"/>
      <c r="J36" s="129"/>
      <c r="K36" s="130"/>
      <c r="L36" s="13"/>
      <c r="M36" s="14"/>
      <c r="P36" s="131"/>
      <c r="Q36" s="132"/>
      <c r="R36" s="10"/>
      <c r="S36" s="11"/>
      <c r="T36" s="12"/>
    </row>
    <row r="37" spans="2:20" x14ac:dyDescent="0.2">
      <c r="B37" s="105" t="s">
        <v>27</v>
      </c>
      <c r="C37" s="106"/>
      <c r="D37" s="106"/>
      <c r="E37" s="107"/>
      <c r="F37" s="111">
        <f>SUM(F9:F36)</f>
        <v>1050</v>
      </c>
      <c r="I37" s="113" t="s">
        <v>28</v>
      </c>
      <c r="J37" s="114"/>
      <c r="K37" s="114"/>
      <c r="L37" s="115"/>
      <c r="M37" s="111">
        <f>SUM(M9:M36)</f>
        <v>760</v>
      </c>
      <c r="P37" s="119" t="s">
        <v>29</v>
      </c>
      <c r="Q37" s="120"/>
      <c r="R37" s="120"/>
      <c r="S37" s="121"/>
      <c r="T37" s="111">
        <f>SUM(T9:T36)</f>
        <v>275</v>
      </c>
    </row>
    <row r="38" spans="2:20" ht="17" thickBot="1" x14ac:dyDescent="0.25">
      <c r="B38" s="108"/>
      <c r="C38" s="109"/>
      <c r="D38" s="109"/>
      <c r="E38" s="110"/>
      <c r="F38" s="112"/>
      <c r="I38" s="116"/>
      <c r="J38" s="117"/>
      <c r="K38" s="117"/>
      <c r="L38" s="118"/>
      <c r="M38" s="112"/>
      <c r="P38" s="122"/>
      <c r="Q38" s="123"/>
      <c r="R38" s="123"/>
      <c r="S38" s="124"/>
      <c r="T38" s="112"/>
    </row>
    <row r="40" spans="2:20" ht="17" thickBot="1" x14ac:dyDescent="0.25"/>
    <row r="41" spans="2:20" x14ac:dyDescent="0.2">
      <c r="B41" s="52" t="s">
        <v>30</v>
      </c>
      <c r="C41" s="53"/>
      <c r="D41" s="53"/>
      <c r="E41" s="53"/>
      <c r="F41" s="54"/>
      <c r="G41" s="61">
        <f>F37+M37+T37</f>
        <v>2085</v>
      </c>
      <c r="H41" s="62"/>
      <c r="I41" s="63"/>
    </row>
    <row r="42" spans="2:20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0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4484</v>
      </c>
      <c r="P43" s="80"/>
      <c r="Q43" s="81"/>
    </row>
    <row r="44" spans="2:20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20" x14ac:dyDescent="0.2">
      <c r="K45" s="73"/>
      <c r="L45" s="74"/>
      <c r="M45" s="74"/>
      <c r="N45" s="75"/>
      <c r="O45" s="82"/>
      <c r="P45" s="83"/>
      <c r="Q45" s="84"/>
    </row>
    <row r="46" spans="2:20" x14ac:dyDescent="0.2">
      <c r="K46" s="73"/>
      <c r="L46" s="74"/>
      <c r="M46" s="74"/>
      <c r="N46" s="75"/>
      <c r="O46" s="82"/>
      <c r="P46" s="83"/>
      <c r="Q46" s="84"/>
    </row>
    <row r="47" spans="2:20" ht="17" thickBot="1" x14ac:dyDescent="0.25">
      <c r="K47" s="73"/>
      <c r="L47" s="74"/>
      <c r="M47" s="74"/>
      <c r="N47" s="75"/>
      <c r="O47" s="82"/>
      <c r="P47" s="83"/>
      <c r="Q47" s="84"/>
    </row>
    <row r="48" spans="2:20" x14ac:dyDescent="0.2">
      <c r="B48" s="88" t="s">
        <v>32</v>
      </c>
      <c r="C48" s="89"/>
      <c r="D48" s="89"/>
      <c r="E48" s="89"/>
      <c r="F48" s="90"/>
      <c r="G48" s="61">
        <v>6569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99"/>
      <c r="H50" s="100"/>
      <c r="I50" s="101"/>
    </row>
    <row r="51" spans="2:17" ht="17" thickBot="1" x14ac:dyDescent="0.25">
      <c r="B51" s="94"/>
      <c r="C51" s="95"/>
      <c r="D51" s="95"/>
      <c r="E51" s="95"/>
      <c r="F51" s="96"/>
      <c r="G51" s="102"/>
      <c r="H51" s="103"/>
      <c r="I51" s="104"/>
    </row>
  </sheetData>
  <mergeCells count="103">
    <mergeCell ref="B2:T3"/>
    <mergeCell ref="B6:F7"/>
    <mergeCell ref="I6:M7"/>
    <mergeCell ref="P6:T7"/>
    <mergeCell ref="B8:D8"/>
    <mergeCell ref="I8:K8"/>
    <mergeCell ref="P8:Q8"/>
    <mergeCell ref="B11:D11"/>
    <mergeCell ref="I11:K11"/>
    <mergeCell ref="P11:Q11"/>
    <mergeCell ref="B12:D12"/>
    <mergeCell ref="I12:K12"/>
    <mergeCell ref="P12:Q12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T37:T38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E964-7654-1E4A-B163-5C418D60B283}">
  <dimension ref="B1:T51"/>
  <sheetViews>
    <sheetView topLeftCell="A6" zoomScale="50" zoomScaleNormal="50" workbookViewId="0">
      <selection activeCell="O43" sqref="O43:Q49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9.1640625" customWidth="1"/>
    <col min="5" max="5" width="18.83203125" customWidth="1"/>
    <col min="6" max="6" width="24.5" customWidth="1"/>
    <col min="9" max="9" width="22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</cols>
  <sheetData>
    <row r="1" spans="2:20" ht="17" thickBot="1" x14ac:dyDescent="0.25"/>
    <row r="2" spans="2:20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0" ht="69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87" t="s">
        <v>3</v>
      </c>
      <c r="Q6" s="188"/>
      <c r="R6" s="188"/>
      <c r="S6" s="188"/>
      <c r="T6" s="189"/>
    </row>
    <row r="7" spans="2:20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90"/>
      <c r="Q7" s="191"/>
      <c r="R7" s="191"/>
      <c r="S7" s="191"/>
      <c r="T7" s="192"/>
    </row>
    <row r="8" spans="2:20" ht="37" x14ac:dyDescent="0.2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93" t="s">
        <v>7</v>
      </c>
      <c r="Q8" s="194"/>
      <c r="R8" s="15" t="s">
        <v>8</v>
      </c>
      <c r="S8" s="15" t="s">
        <v>5</v>
      </c>
      <c r="T8" s="15" t="s">
        <v>6</v>
      </c>
    </row>
    <row r="9" spans="2:20" ht="34" x14ac:dyDescent="0.2">
      <c r="B9" s="125" t="s">
        <v>33</v>
      </c>
      <c r="C9" s="126"/>
      <c r="D9" s="127"/>
      <c r="E9" s="13">
        <v>45780</v>
      </c>
      <c r="F9" s="14">
        <v>71</v>
      </c>
      <c r="I9" s="125" t="s">
        <v>34</v>
      </c>
      <c r="J9" s="126"/>
      <c r="K9" s="127"/>
      <c r="L9" s="13">
        <v>45787</v>
      </c>
      <c r="M9" s="14">
        <v>222</v>
      </c>
      <c r="P9" s="133" t="s">
        <v>13</v>
      </c>
      <c r="Q9" s="134"/>
      <c r="R9" s="10">
        <v>7</v>
      </c>
      <c r="S9" s="11">
        <v>45778</v>
      </c>
      <c r="T9" s="12">
        <v>70</v>
      </c>
    </row>
    <row r="10" spans="2:20" ht="30" customHeight="1" x14ac:dyDescent="0.2">
      <c r="B10" s="125" t="s">
        <v>35</v>
      </c>
      <c r="C10" s="126"/>
      <c r="D10" s="127"/>
      <c r="E10" s="13">
        <v>45785</v>
      </c>
      <c r="F10" s="14">
        <v>15</v>
      </c>
      <c r="I10" s="125" t="s">
        <v>36</v>
      </c>
      <c r="J10" s="126"/>
      <c r="K10" s="127"/>
      <c r="L10" s="13">
        <v>45783</v>
      </c>
      <c r="M10" s="14">
        <v>67</v>
      </c>
      <c r="P10" s="133" t="s">
        <v>37</v>
      </c>
      <c r="Q10" s="134"/>
      <c r="R10" s="10">
        <v>3</v>
      </c>
      <c r="S10" s="11">
        <v>45778</v>
      </c>
      <c r="T10" s="12">
        <v>30</v>
      </c>
    </row>
    <row r="11" spans="2:20" ht="34" x14ac:dyDescent="0.2">
      <c r="B11" s="125" t="s">
        <v>38</v>
      </c>
      <c r="C11" s="126"/>
      <c r="D11" s="127"/>
      <c r="E11" s="13">
        <v>45786</v>
      </c>
      <c r="F11" s="14">
        <v>14</v>
      </c>
      <c r="I11" s="125" t="s">
        <v>39</v>
      </c>
      <c r="J11" s="126"/>
      <c r="K11" s="127"/>
      <c r="L11" s="13">
        <v>45793</v>
      </c>
      <c r="M11" s="14">
        <v>207</v>
      </c>
      <c r="P11" s="133" t="s">
        <v>37</v>
      </c>
      <c r="Q11" s="134"/>
      <c r="R11" s="10">
        <v>4</v>
      </c>
      <c r="S11" s="11">
        <v>45780</v>
      </c>
      <c r="T11" s="12">
        <v>35</v>
      </c>
    </row>
    <row r="12" spans="2:20" ht="34" x14ac:dyDescent="0.2">
      <c r="B12" s="125" t="s">
        <v>40</v>
      </c>
      <c r="C12" s="126"/>
      <c r="D12" s="127"/>
      <c r="E12" s="13">
        <v>45786</v>
      </c>
      <c r="F12" s="14">
        <v>69</v>
      </c>
      <c r="I12" s="125" t="s">
        <v>41</v>
      </c>
      <c r="J12" s="126"/>
      <c r="K12" s="127"/>
      <c r="L12" s="13">
        <v>45779</v>
      </c>
      <c r="M12" s="14">
        <v>54</v>
      </c>
      <c r="P12" s="133" t="s">
        <v>16</v>
      </c>
      <c r="Q12" s="134"/>
      <c r="R12" s="10">
        <v>10</v>
      </c>
      <c r="S12" s="11">
        <v>45778</v>
      </c>
      <c r="T12" s="12">
        <v>100</v>
      </c>
    </row>
    <row r="13" spans="2:20" ht="34" x14ac:dyDescent="0.2">
      <c r="B13" s="125" t="s">
        <v>42</v>
      </c>
      <c r="C13" s="126"/>
      <c r="D13" s="127"/>
      <c r="E13" s="13">
        <v>45786</v>
      </c>
      <c r="F13" s="14">
        <v>9</v>
      </c>
      <c r="I13" s="125" t="s">
        <v>43</v>
      </c>
      <c r="J13" s="126"/>
      <c r="K13" s="127"/>
      <c r="L13" s="13">
        <v>45807</v>
      </c>
      <c r="M13" s="16">
        <v>250</v>
      </c>
      <c r="P13" s="133" t="s">
        <v>13</v>
      </c>
      <c r="Q13" s="134"/>
      <c r="R13" s="10">
        <v>9</v>
      </c>
      <c r="S13" s="11">
        <v>45785</v>
      </c>
      <c r="T13" s="12">
        <v>90</v>
      </c>
    </row>
    <row r="14" spans="2:20" ht="34" x14ac:dyDescent="0.2">
      <c r="B14" s="125" t="s">
        <v>44</v>
      </c>
      <c r="C14" s="126"/>
      <c r="D14" s="127"/>
      <c r="E14" s="13">
        <v>45787</v>
      </c>
      <c r="F14" s="14">
        <v>17</v>
      </c>
      <c r="I14" s="125"/>
      <c r="J14" s="126"/>
      <c r="K14" s="127"/>
      <c r="L14" s="13"/>
      <c r="M14" s="14"/>
      <c r="P14" s="133" t="s">
        <v>13</v>
      </c>
      <c r="Q14" s="134"/>
      <c r="R14" s="10">
        <v>4</v>
      </c>
      <c r="S14" s="11">
        <v>45786</v>
      </c>
      <c r="T14" s="12">
        <v>40</v>
      </c>
    </row>
    <row r="15" spans="2:20" ht="34" x14ac:dyDescent="0.2">
      <c r="B15" s="125" t="s">
        <v>45</v>
      </c>
      <c r="C15" s="126"/>
      <c r="D15" s="127"/>
      <c r="E15" s="13">
        <v>45787</v>
      </c>
      <c r="F15" s="14">
        <v>3</v>
      </c>
      <c r="I15" s="125"/>
      <c r="J15" s="126"/>
      <c r="K15" s="127"/>
      <c r="L15" s="13"/>
      <c r="M15" s="14"/>
      <c r="P15" s="133" t="s">
        <v>13</v>
      </c>
      <c r="Q15" s="134"/>
      <c r="R15" s="10">
        <v>9</v>
      </c>
      <c r="S15" s="11">
        <v>45787</v>
      </c>
      <c r="T15" s="12">
        <v>90</v>
      </c>
    </row>
    <row r="16" spans="2:20" ht="34" x14ac:dyDescent="0.2">
      <c r="B16" s="125" t="s">
        <v>46</v>
      </c>
      <c r="C16" s="126"/>
      <c r="D16" s="127"/>
      <c r="E16" s="13">
        <v>45788</v>
      </c>
      <c r="F16" s="14">
        <v>56</v>
      </c>
      <c r="I16" s="125"/>
      <c r="J16" s="126"/>
      <c r="K16" s="127"/>
      <c r="L16" s="13"/>
      <c r="M16" s="14"/>
      <c r="P16" s="133" t="s">
        <v>47</v>
      </c>
      <c r="Q16" s="134"/>
      <c r="R16" s="10">
        <v>9</v>
      </c>
      <c r="S16" s="11">
        <v>45787</v>
      </c>
      <c r="T16" s="12">
        <v>90</v>
      </c>
    </row>
    <row r="17" spans="2:20" ht="34" x14ac:dyDescent="0.2">
      <c r="B17" s="125" t="s">
        <v>48</v>
      </c>
      <c r="C17" s="126"/>
      <c r="D17" s="127"/>
      <c r="E17" s="13">
        <v>45788</v>
      </c>
      <c r="F17" s="14">
        <v>17</v>
      </c>
      <c r="I17" s="125"/>
      <c r="J17" s="126"/>
      <c r="K17" s="127"/>
      <c r="L17" s="13"/>
      <c r="M17" s="14"/>
      <c r="P17" s="133" t="s">
        <v>37</v>
      </c>
      <c r="Q17" s="134"/>
      <c r="R17" s="10">
        <v>3</v>
      </c>
      <c r="S17" s="11">
        <v>45787</v>
      </c>
      <c r="T17" s="12">
        <v>30</v>
      </c>
    </row>
    <row r="18" spans="2:20" ht="34" x14ac:dyDescent="0.2">
      <c r="B18" s="125" t="s">
        <v>49</v>
      </c>
      <c r="C18" s="126"/>
      <c r="D18" s="127"/>
      <c r="E18" s="13">
        <v>45788</v>
      </c>
      <c r="F18" s="14">
        <v>5</v>
      </c>
      <c r="I18" s="125"/>
      <c r="J18" s="126"/>
      <c r="K18" s="127"/>
      <c r="L18" s="13"/>
      <c r="M18" s="14"/>
      <c r="P18" s="133" t="s">
        <v>47</v>
      </c>
      <c r="Q18" s="134"/>
      <c r="R18" s="10">
        <v>9</v>
      </c>
      <c r="S18" s="11">
        <v>45788</v>
      </c>
      <c r="T18" s="12">
        <v>90</v>
      </c>
    </row>
    <row r="19" spans="2:20" ht="34" x14ac:dyDescent="0.2">
      <c r="B19" s="125" t="s">
        <v>50</v>
      </c>
      <c r="C19" s="126"/>
      <c r="D19" s="127"/>
      <c r="E19" s="13">
        <v>45790</v>
      </c>
      <c r="F19" s="14">
        <v>66</v>
      </c>
      <c r="I19" s="125"/>
      <c r="J19" s="126"/>
      <c r="K19" s="127"/>
      <c r="L19" s="13"/>
      <c r="M19" s="14"/>
      <c r="P19" s="133" t="s">
        <v>13</v>
      </c>
      <c r="Q19" s="134"/>
      <c r="R19" s="10">
        <v>9</v>
      </c>
      <c r="S19" s="11">
        <v>45788</v>
      </c>
      <c r="T19" s="12">
        <v>90</v>
      </c>
    </row>
    <row r="20" spans="2:20" ht="34" x14ac:dyDescent="0.2">
      <c r="B20" s="125" t="s">
        <v>51</v>
      </c>
      <c r="C20" s="126"/>
      <c r="D20" s="127"/>
      <c r="E20" s="13">
        <v>45791</v>
      </c>
      <c r="F20" s="14">
        <v>8</v>
      </c>
      <c r="I20" s="125"/>
      <c r="J20" s="126"/>
      <c r="K20" s="127"/>
      <c r="L20" s="13"/>
      <c r="M20" s="14"/>
      <c r="P20" s="133" t="s">
        <v>37</v>
      </c>
      <c r="Q20" s="134"/>
      <c r="R20" s="10">
        <v>4</v>
      </c>
      <c r="S20" s="11">
        <v>45788</v>
      </c>
      <c r="T20" s="12">
        <v>36</v>
      </c>
    </row>
    <row r="21" spans="2:20" ht="34" x14ac:dyDescent="0.2">
      <c r="B21" s="125" t="s">
        <v>52</v>
      </c>
      <c r="C21" s="126"/>
      <c r="D21" s="127"/>
      <c r="E21" s="13">
        <v>45793</v>
      </c>
      <c r="F21" s="14">
        <v>94</v>
      </c>
      <c r="I21" s="125"/>
      <c r="J21" s="126"/>
      <c r="K21" s="127"/>
      <c r="L21" s="13"/>
      <c r="M21" s="14"/>
      <c r="P21" s="133" t="s">
        <v>13</v>
      </c>
      <c r="Q21" s="134"/>
      <c r="R21" s="10">
        <v>4</v>
      </c>
      <c r="S21" s="11">
        <v>45795</v>
      </c>
      <c r="T21" s="12">
        <v>40</v>
      </c>
    </row>
    <row r="22" spans="2:20" ht="34" x14ac:dyDescent="0.2">
      <c r="B22" s="125" t="s">
        <v>53</v>
      </c>
      <c r="C22" s="126"/>
      <c r="D22" s="127"/>
      <c r="E22" s="13">
        <v>45794</v>
      </c>
      <c r="F22" s="14">
        <v>15</v>
      </c>
      <c r="I22" s="125"/>
      <c r="J22" s="126"/>
      <c r="K22" s="127"/>
      <c r="L22" s="13"/>
      <c r="M22" s="14"/>
      <c r="P22" s="133" t="s">
        <v>37</v>
      </c>
      <c r="Q22" s="134"/>
      <c r="R22" s="10">
        <v>4</v>
      </c>
      <c r="S22" s="11">
        <v>45795</v>
      </c>
      <c r="T22" s="12">
        <v>36</v>
      </c>
    </row>
    <row r="23" spans="2:20" ht="34" x14ac:dyDescent="0.2">
      <c r="B23" s="125" t="s">
        <v>54</v>
      </c>
      <c r="C23" s="126"/>
      <c r="D23" s="127"/>
      <c r="E23" s="13">
        <v>45794</v>
      </c>
      <c r="F23" s="14">
        <v>33</v>
      </c>
      <c r="I23" s="125"/>
      <c r="J23" s="126"/>
      <c r="K23" s="127"/>
      <c r="L23" s="13"/>
      <c r="M23" s="14"/>
      <c r="P23" s="133" t="s">
        <v>55</v>
      </c>
      <c r="Q23" s="134"/>
      <c r="R23" s="10">
        <v>9</v>
      </c>
      <c r="S23" s="11">
        <v>45801</v>
      </c>
      <c r="T23" s="17">
        <v>80</v>
      </c>
    </row>
    <row r="24" spans="2:20" ht="34" x14ac:dyDescent="0.2">
      <c r="B24" s="125" t="s">
        <v>56</v>
      </c>
      <c r="C24" s="126"/>
      <c r="D24" s="127"/>
      <c r="E24" s="13">
        <v>45779</v>
      </c>
      <c r="F24" s="14">
        <v>89</v>
      </c>
      <c r="I24" s="125"/>
      <c r="J24" s="126"/>
      <c r="K24" s="127"/>
      <c r="L24" s="13"/>
      <c r="M24" s="14"/>
      <c r="P24" s="133" t="s">
        <v>37</v>
      </c>
      <c r="Q24" s="134"/>
      <c r="R24" s="10">
        <v>4</v>
      </c>
      <c r="S24" s="11">
        <v>45806</v>
      </c>
      <c r="T24" s="17">
        <v>35</v>
      </c>
    </row>
    <row r="25" spans="2:20" ht="34" x14ac:dyDescent="0.2">
      <c r="B25" s="125" t="s">
        <v>57</v>
      </c>
      <c r="C25" s="126"/>
      <c r="D25" s="127"/>
      <c r="E25" s="13">
        <v>45794</v>
      </c>
      <c r="F25" s="14">
        <v>7</v>
      </c>
      <c r="I25" s="125"/>
      <c r="J25" s="126"/>
      <c r="K25" s="127"/>
      <c r="L25" s="13"/>
      <c r="M25" s="14"/>
      <c r="P25" s="133" t="s">
        <v>13</v>
      </c>
      <c r="Q25" s="134"/>
      <c r="R25" s="10">
        <v>9</v>
      </c>
      <c r="S25" s="11">
        <v>45806</v>
      </c>
      <c r="T25" s="17">
        <v>90</v>
      </c>
    </row>
    <row r="26" spans="2:20" ht="34" x14ac:dyDescent="0.2">
      <c r="B26" s="125" t="s">
        <v>58</v>
      </c>
      <c r="C26" s="126"/>
      <c r="D26" s="127"/>
      <c r="E26" s="13">
        <v>45795</v>
      </c>
      <c r="F26" s="14">
        <v>17</v>
      </c>
      <c r="I26" s="125"/>
      <c r="J26" s="126"/>
      <c r="K26" s="127"/>
      <c r="L26" s="13"/>
      <c r="M26" s="14"/>
      <c r="P26" s="133" t="s">
        <v>55</v>
      </c>
      <c r="Q26" s="134"/>
      <c r="R26" s="10">
        <v>9</v>
      </c>
      <c r="S26" s="11">
        <v>45808</v>
      </c>
      <c r="T26" s="17">
        <v>80</v>
      </c>
    </row>
    <row r="27" spans="2:20" ht="34" x14ac:dyDescent="0.2">
      <c r="B27" s="125" t="s">
        <v>59</v>
      </c>
      <c r="C27" s="126"/>
      <c r="D27" s="127"/>
      <c r="E27" s="13">
        <v>45783</v>
      </c>
      <c r="F27" s="16">
        <v>67</v>
      </c>
      <c r="I27" s="128"/>
      <c r="J27" s="129"/>
      <c r="K27" s="130"/>
      <c r="L27" s="13"/>
      <c r="M27" s="14"/>
      <c r="P27" s="131"/>
      <c r="Q27" s="132"/>
      <c r="R27" s="10"/>
      <c r="S27" s="11"/>
      <c r="T27" s="12"/>
    </row>
    <row r="28" spans="2:20" ht="34" x14ac:dyDescent="0.2">
      <c r="B28" s="125" t="s">
        <v>60</v>
      </c>
      <c r="C28" s="126"/>
      <c r="D28" s="127"/>
      <c r="E28" s="13">
        <v>45798</v>
      </c>
      <c r="F28" s="16">
        <v>219</v>
      </c>
      <c r="I28" s="128"/>
      <c r="J28" s="129"/>
      <c r="K28" s="130"/>
      <c r="L28" s="13"/>
      <c r="M28" s="14"/>
      <c r="P28" s="131"/>
      <c r="Q28" s="132"/>
      <c r="R28" s="10"/>
      <c r="S28" s="11"/>
      <c r="T28" s="12"/>
    </row>
    <row r="29" spans="2:20" ht="34" x14ac:dyDescent="0.2">
      <c r="B29" s="125" t="s">
        <v>61</v>
      </c>
      <c r="C29" s="126"/>
      <c r="D29" s="127"/>
      <c r="E29" s="13">
        <v>45800</v>
      </c>
      <c r="F29" s="14">
        <v>49</v>
      </c>
      <c r="I29" s="128"/>
      <c r="J29" s="129"/>
      <c r="K29" s="130"/>
      <c r="L29" s="13"/>
      <c r="M29" s="14"/>
      <c r="P29" s="131"/>
      <c r="Q29" s="132"/>
      <c r="R29" s="10"/>
      <c r="S29" s="11"/>
      <c r="T29" s="12"/>
    </row>
    <row r="30" spans="2:20" ht="34" x14ac:dyDescent="0.2">
      <c r="B30" s="125" t="s">
        <v>58</v>
      </c>
      <c r="C30" s="126"/>
      <c r="D30" s="127"/>
      <c r="E30" s="13">
        <v>45801</v>
      </c>
      <c r="F30" s="16">
        <v>16</v>
      </c>
      <c r="I30" s="128"/>
      <c r="J30" s="129"/>
      <c r="K30" s="130"/>
      <c r="L30" s="13"/>
      <c r="M30" s="14"/>
      <c r="P30" s="131"/>
      <c r="Q30" s="132"/>
      <c r="R30" s="10"/>
      <c r="S30" s="11"/>
      <c r="T30" s="12"/>
    </row>
    <row r="31" spans="2:20" ht="34" x14ac:dyDescent="0.2">
      <c r="B31" s="125" t="s">
        <v>62</v>
      </c>
      <c r="C31" s="126"/>
      <c r="D31" s="127"/>
      <c r="E31" s="13">
        <v>45807</v>
      </c>
      <c r="F31" s="16">
        <v>76</v>
      </c>
      <c r="I31" s="128"/>
      <c r="J31" s="129"/>
      <c r="K31" s="130"/>
      <c r="L31" s="13"/>
      <c r="M31" s="14"/>
      <c r="P31" s="131"/>
      <c r="Q31" s="132"/>
      <c r="R31" s="10"/>
      <c r="S31" s="11"/>
      <c r="T31" s="12"/>
    </row>
    <row r="32" spans="2:20" ht="34" x14ac:dyDescent="0.2">
      <c r="B32" s="125" t="s">
        <v>63</v>
      </c>
      <c r="C32" s="126"/>
      <c r="D32" s="127"/>
      <c r="E32" s="13">
        <v>45807</v>
      </c>
      <c r="F32" s="16">
        <v>38</v>
      </c>
      <c r="I32" s="128"/>
      <c r="J32" s="129"/>
      <c r="K32" s="130"/>
      <c r="L32" s="13"/>
      <c r="M32" s="14"/>
      <c r="P32" s="131"/>
      <c r="Q32" s="132"/>
      <c r="R32" s="10"/>
      <c r="S32" s="11"/>
      <c r="T32" s="12"/>
    </row>
    <row r="33" spans="2:20" ht="34" x14ac:dyDescent="0.2">
      <c r="B33" s="125"/>
      <c r="C33" s="126"/>
      <c r="D33" s="127"/>
      <c r="E33" s="13"/>
      <c r="F33" s="14"/>
      <c r="I33" s="128"/>
      <c r="J33" s="129"/>
      <c r="K33" s="130"/>
      <c r="L33" s="13"/>
      <c r="M33" s="14"/>
      <c r="P33" s="131"/>
      <c r="Q33" s="132"/>
      <c r="R33" s="10"/>
      <c r="S33" s="11"/>
      <c r="T33" s="12"/>
    </row>
    <row r="34" spans="2:20" ht="34" x14ac:dyDescent="0.2">
      <c r="B34" s="125"/>
      <c r="C34" s="126"/>
      <c r="D34" s="127"/>
      <c r="E34" s="13"/>
      <c r="F34" s="14"/>
      <c r="I34" s="128"/>
      <c r="J34" s="129"/>
      <c r="K34" s="130"/>
      <c r="L34" s="13"/>
      <c r="M34" s="14"/>
      <c r="P34" s="131"/>
      <c r="Q34" s="132"/>
      <c r="R34" s="10"/>
      <c r="S34" s="11"/>
      <c r="T34" s="12"/>
    </row>
    <row r="35" spans="2:20" ht="34" x14ac:dyDescent="0.2">
      <c r="B35" s="128"/>
      <c r="C35" s="129"/>
      <c r="D35" s="130"/>
      <c r="E35" s="13"/>
      <c r="F35" s="14"/>
      <c r="I35" s="128"/>
      <c r="J35" s="129"/>
      <c r="K35" s="130"/>
      <c r="L35" s="13"/>
      <c r="M35" s="14"/>
      <c r="P35" s="131"/>
      <c r="Q35" s="132"/>
      <c r="R35" s="10"/>
      <c r="S35" s="11"/>
      <c r="T35" s="12"/>
    </row>
    <row r="36" spans="2:20" ht="34" x14ac:dyDescent="0.2">
      <c r="B36" s="128"/>
      <c r="C36" s="129"/>
      <c r="D36" s="130"/>
      <c r="E36" s="13"/>
      <c r="F36" s="14"/>
      <c r="I36" s="128"/>
      <c r="J36" s="129"/>
      <c r="K36" s="130"/>
      <c r="L36" s="13"/>
      <c r="M36" s="14"/>
      <c r="P36" s="131"/>
      <c r="Q36" s="132"/>
      <c r="R36" s="10"/>
      <c r="S36" s="11"/>
      <c r="T36" s="12"/>
    </row>
    <row r="37" spans="2:20" x14ac:dyDescent="0.2">
      <c r="B37" s="167" t="s">
        <v>27</v>
      </c>
      <c r="C37" s="168"/>
      <c r="D37" s="168"/>
      <c r="E37" s="169"/>
      <c r="F37" s="173">
        <f>SUM(F9:F36)</f>
        <v>1070</v>
      </c>
      <c r="I37" s="175" t="s">
        <v>28</v>
      </c>
      <c r="J37" s="176"/>
      <c r="K37" s="176"/>
      <c r="L37" s="177"/>
      <c r="M37" s="173">
        <f>SUM(M9:M36)</f>
        <v>800</v>
      </c>
      <c r="P37" s="181" t="s">
        <v>29</v>
      </c>
      <c r="Q37" s="182"/>
      <c r="R37" s="182"/>
      <c r="S37" s="183"/>
      <c r="T37" s="173">
        <f>SUM(T9:T36)</f>
        <v>1152</v>
      </c>
    </row>
    <row r="38" spans="2:20" ht="17" thickBot="1" x14ac:dyDescent="0.25">
      <c r="B38" s="170"/>
      <c r="C38" s="171"/>
      <c r="D38" s="171"/>
      <c r="E38" s="172"/>
      <c r="F38" s="174"/>
      <c r="I38" s="178"/>
      <c r="J38" s="179"/>
      <c r="K38" s="179"/>
      <c r="L38" s="180"/>
      <c r="M38" s="174"/>
      <c r="P38" s="184"/>
      <c r="Q38" s="185"/>
      <c r="R38" s="185"/>
      <c r="S38" s="186"/>
      <c r="T38" s="174"/>
    </row>
    <row r="40" spans="2:20" ht="17" thickBot="1" x14ac:dyDescent="0.25"/>
    <row r="41" spans="2:20" x14ac:dyDescent="0.2">
      <c r="B41" s="52" t="s">
        <v>30</v>
      </c>
      <c r="C41" s="53"/>
      <c r="D41" s="53"/>
      <c r="E41" s="53"/>
      <c r="F41" s="54"/>
      <c r="G41" s="61">
        <f>F37+M37+T37</f>
        <v>3022</v>
      </c>
      <c r="H41" s="62"/>
      <c r="I41" s="63"/>
    </row>
    <row r="42" spans="2:20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0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19836</v>
      </c>
      <c r="P43" s="80"/>
      <c r="Q43" s="81"/>
    </row>
    <row r="44" spans="2:20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20" x14ac:dyDescent="0.2">
      <c r="K45" s="73"/>
      <c r="L45" s="74"/>
      <c r="M45" s="74"/>
      <c r="N45" s="75"/>
      <c r="O45" s="82"/>
      <c r="P45" s="83"/>
      <c r="Q45" s="84"/>
    </row>
    <row r="46" spans="2:20" x14ac:dyDescent="0.2">
      <c r="K46" s="73"/>
      <c r="L46" s="74"/>
      <c r="M46" s="74"/>
      <c r="N46" s="75"/>
      <c r="O46" s="82"/>
      <c r="P46" s="83"/>
      <c r="Q46" s="84"/>
    </row>
    <row r="47" spans="2:20" ht="17" thickBot="1" x14ac:dyDescent="0.25">
      <c r="K47" s="73"/>
      <c r="L47" s="74"/>
      <c r="M47" s="74"/>
      <c r="N47" s="75"/>
      <c r="O47" s="82"/>
      <c r="P47" s="83"/>
      <c r="Q47" s="84"/>
    </row>
    <row r="48" spans="2:20" x14ac:dyDescent="0.2">
      <c r="B48" s="88" t="s">
        <v>32</v>
      </c>
      <c r="C48" s="89"/>
      <c r="D48" s="89"/>
      <c r="E48" s="89"/>
      <c r="F48" s="90"/>
      <c r="G48" s="61">
        <v>22858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99"/>
      <c r="H50" s="100"/>
      <c r="I50" s="101"/>
    </row>
    <row r="51" spans="2:17" ht="17" thickBot="1" x14ac:dyDescent="0.25">
      <c r="B51" s="94"/>
      <c r="C51" s="95"/>
      <c r="D51" s="95"/>
      <c r="E51" s="95"/>
      <c r="F51" s="96"/>
      <c r="G51" s="102"/>
      <c r="H51" s="103"/>
      <c r="I51" s="104"/>
    </row>
  </sheetData>
  <mergeCells count="103">
    <mergeCell ref="B2:T3"/>
    <mergeCell ref="B6:F7"/>
    <mergeCell ref="I6:M7"/>
    <mergeCell ref="P6:T7"/>
    <mergeCell ref="B8:D8"/>
    <mergeCell ref="I8:K8"/>
    <mergeCell ref="P8:Q8"/>
    <mergeCell ref="B11:D11"/>
    <mergeCell ref="I11:K11"/>
    <mergeCell ref="P11:Q11"/>
    <mergeCell ref="B12:D12"/>
    <mergeCell ref="I12:K12"/>
    <mergeCell ref="P12:Q12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T37:T38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160F-E24D-8649-A3A3-0C366FB5ED7E}">
  <dimension ref="B1:T51"/>
  <sheetViews>
    <sheetView zoomScale="50" zoomScaleNormal="50" workbookViewId="0">
      <selection activeCell="U45" sqref="U45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24.33203125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</cols>
  <sheetData>
    <row r="1" spans="2:20" ht="17" thickBot="1" x14ac:dyDescent="0.25"/>
    <row r="2" spans="2:20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0" ht="77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</row>
    <row r="7" spans="2:20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</row>
    <row r="8" spans="2:20" ht="38" thickBot="1" x14ac:dyDescent="0.25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</row>
    <row r="9" spans="2:20" ht="30" thickBot="1" x14ac:dyDescent="0.25">
      <c r="B9" s="221" t="s">
        <v>64</v>
      </c>
      <c r="C9" s="222"/>
      <c r="D9" s="223"/>
      <c r="E9" s="5">
        <v>45809</v>
      </c>
      <c r="F9" s="6">
        <v>43</v>
      </c>
      <c r="I9" s="221" t="s">
        <v>65</v>
      </c>
      <c r="J9" s="222"/>
      <c r="K9" s="223"/>
      <c r="L9" s="5">
        <v>45811</v>
      </c>
      <c r="M9" s="6">
        <v>273</v>
      </c>
      <c r="P9" s="219" t="s">
        <v>55</v>
      </c>
      <c r="Q9" s="220"/>
      <c r="R9" s="2">
        <v>9</v>
      </c>
      <c r="S9" s="3">
        <v>45809</v>
      </c>
      <c r="T9" s="38">
        <v>80</v>
      </c>
    </row>
    <row r="10" spans="2:20" ht="30" thickBot="1" x14ac:dyDescent="0.25">
      <c r="B10" s="221" t="s">
        <v>66</v>
      </c>
      <c r="C10" s="222"/>
      <c r="D10" s="223"/>
      <c r="E10" s="5">
        <v>45809</v>
      </c>
      <c r="F10" s="6">
        <v>69</v>
      </c>
      <c r="I10" s="221" t="s">
        <v>67</v>
      </c>
      <c r="J10" s="222"/>
      <c r="K10" s="223"/>
      <c r="L10" s="5">
        <v>45819</v>
      </c>
      <c r="M10" s="6">
        <v>104</v>
      </c>
      <c r="P10" s="215" t="s">
        <v>13</v>
      </c>
      <c r="Q10" s="216"/>
      <c r="R10" s="33">
        <v>9</v>
      </c>
      <c r="S10" s="34">
        <v>45809</v>
      </c>
      <c r="T10" s="35">
        <v>90</v>
      </c>
    </row>
    <row r="11" spans="2:20" ht="30" thickBot="1" x14ac:dyDescent="0.25">
      <c r="B11" s="221" t="s">
        <v>68</v>
      </c>
      <c r="C11" s="222"/>
      <c r="D11" s="223"/>
      <c r="E11" s="5">
        <v>45811</v>
      </c>
      <c r="F11" s="6">
        <v>103</v>
      </c>
      <c r="I11" s="221" t="s">
        <v>69</v>
      </c>
      <c r="J11" s="222"/>
      <c r="K11" s="223"/>
      <c r="L11" s="5">
        <v>45821</v>
      </c>
      <c r="M11" s="6">
        <v>100</v>
      </c>
      <c r="P11" s="215" t="s">
        <v>13</v>
      </c>
      <c r="Q11" s="216"/>
      <c r="R11" s="33">
        <v>9</v>
      </c>
      <c r="S11" s="34">
        <v>45816</v>
      </c>
      <c r="T11" s="35">
        <v>90</v>
      </c>
    </row>
    <row r="12" spans="2:20" ht="29" x14ac:dyDescent="0.2">
      <c r="B12" s="221" t="s">
        <v>9</v>
      </c>
      <c r="C12" s="222"/>
      <c r="D12" s="223"/>
      <c r="E12" s="5">
        <v>45819</v>
      </c>
      <c r="F12" s="6">
        <v>75</v>
      </c>
      <c r="I12" s="221" t="s">
        <v>70</v>
      </c>
      <c r="J12" s="222"/>
      <c r="K12" s="223"/>
      <c r="L12" s="5">
        <v>45826</v>
      </c>
      <c r="M12" s="19">
        <v>150</v>
      </c>
      <c r="P12" s="219" t="s">
        <v>55</v>
      </c>
      <c r="Q12" s="220"/>
      <c r="R12" s="2">
        <v>9</v>
      </c>
      <c r="S12" s="3">
        <v>45817</v>
      </c>
      <c r="T12" s="37">
        <v>80</v>
      </c>
    </row>
    <row r="13" spans="2:20" ht="29" x14ac:dyDescent="0.2">
      <c r="B13" s="221" t="s">
        <v>71</v>
      </c>
      <c r="C13" s="222"/>
      <c r="D13" s="223"/>
      <c r="E13" s="5">
        <v>45823</v>
      </c>
      <c r="F13" s="19">
        <v>87</v>
      </c>
      <c r="I13" s="221" t="s">
        <v>72</v>
      </c>
      <c r="J13" s="222"/>
      <c r="K13" s="223"/>
      <c r="L13" s="5">
        <v>45829</v>
      </c>
      <c r="M13" s="6">
        <v>167</v>
      </c>
      <c r="P13" s="219" t="s">
        <v>55</v>
      </c>
      <c r="Q13" s="220"/>
      <c r="R13" s="2">
        <v>7</v>
      </c>
      <c r="S13" s="3">
        <v>45820</v>
      </c>
      <c r="T13" s="37">
        <v>40</v>
      </c>
    </row>
    <row r="14" spans="2:20" ht="29" x14ac:dyDescent="0.2">
      <c r="B14" s="221" t="s">
        <v>73</v>
      </c>
      <c r="C14" s="222"/>
      <c r="D14" s="223"/>
      <c r="E14" s="5">
        <v>45823</v>
      </c>
      <c r="F14" s="19">
        <v>13</v>
      </c>
      <c r="I14" s="221" t="s">
        <v>74</v>
      </c>
      <c r="J14" s="222"/>
      <c r="K14" s="223"/>
      <c r="L14" s="5">
        <v>45832</v>
      </c>
      <c r="M14" s="19">
        <v>350</v>
      </c>
      <c r="P14" s="215" t="s">
        <v>13</v>
      </c>
      <c r="Q14" s="216"/>
      <c r="R14" s="32">
        <v>9</v>
      </c>
      <c r="S14" s="34">
        <v>45823</v>
      </c>
      <c r="T14" s="36">
        <v>90</v>
      </c>
    </row>
    <row r="15" spans="2:20" ht="29" x14ac:dyDescent="0.2">
      <c r="B15" s="221" t="s">
        <v>75</v>
      </c>
      <c r="C15" s="222"/>
      <c r="D15" s="223"/>
      <c r="E15" s="5">
        <v>45823</v>
      </c>
      <c r="F15" s="19">
        <v>45</v>
      </c>
      <c r="I15" s="221" t="s">
        <v>76</v>
      </c>
      <c r="J15" s="222"/>
      <c r="K15" s="223"/>
      <c r="L15" s="5">
        <v>45835</v>
      </c>
      <c r="M15" s="19">
        <v>400</v>
      </c>
      <c r="P15" s="215" t="s">
        <v>13</v>
      </c>
      <c r="Q15" s="216"/>
      <c r="R15" s="2">
        <v>10</v>
      </c>
      <c r="S15" s="34">
        <v>45829</v>
      </c>
      <c r="T15" s="36">
        <v>100</v>
      </c>
    </row>
    <row r="16" spans="2:20" ht="29" x14ac:dyDescent="0.2">
      <c r="B16" s="221" t="s">
        <v>77</v>
      </c>
      <c r="C16" s="222"/>
      <c r="D16" s="223"/>
      <c r="E16" s="5">
        <v>45824</v>
      </c>
      <c r="F16" s="19">
        <v>147</v>
      </c>
      <c r="I16" s="221"/>
      <c r="J16" s="222"/>
      <c r="K16" s="223"/>
      <c r="L16" s="5"/>
      <c r="M16" s="6"/>
      <c r="P16" s="213" t="s">
        <v>78</v>
      </c>
      <c r="Q16" s="214"/>
      <c r="R16" s="2">
        <v>10</v>
      </c>
      <c r="S16" s="3">
        <v>45829</v>
      </c>
      <c r="T16" s="37">
        <v>100</v>
      </c>
    </row>
    <row r="17" spans="2:20" ht="29" x14ac:dyDescent="0.2">
      <c r="B17" s="221" t="s">
        <v>79</v>
      </c>
      <c r="C17" s="222"/>
      <c r="D17" s="223"/>
      <c r="E17" s="5">
        <v>45825</v>
      </c>
      <c r="F17" s="19">
        <v>150</v>
      </c>
      <c r="I17" s="221"/>
      <c r="J17" s="222"/>
      <c r="K17" s="223"/>
      <c r="L17" s="5"/>
      <c r="M17" s="6"/>
      <c r="P17" s="217" t="s">
        <v>37</v>
      </c>
      <c r="Q17" s="218"/>
      <c r="R17" s="39">
        <v>7</v>
      </c>
      <c r="S17" s="40">
        <v>45829</v>
      </c>
      <c r="T17" s="41">
        <v>60</v>
      </c>
    </row>
    <row r="18" spans="2:20" ht="29" x14ac:dyDescent="0.2">
      <c r="B18" s="221" t="s">
        <v>80</v>
      </c>
      <c r="C18" s="222"/>
      <c r="D18" s="223"/>
      <c r="E18" s="5">
        <v>45826</v>
      </c>
      <c r="F18" s="19">
        <v>10</v>
      </c>
      <c r="I18" s="221"/>
      <c r="J18" s="222"/>
      <c r="K18" s="223"/>
      <c r="L18" s="5"/>
      <c r="M18" s="6"/>
      <c r="P18" s="213" t="s">
        <v>81</v>
      </c>
      <c r="Q18" s="214"/>
      <c r="R18" s="2">
        <v>6</v>
      </c>
      <c r="S18" s="3">
        <v>45829</v>
      </c>
      <c r="T18" s="38">
        <v>50</v>
      </c>
    </row>
    <row r="19" spans="2:20" ht="29" x14ac:dyDescent="0.2">
      <c r="B19" s="221" t="s">
        <v>82</v>
      </c>
      <c r="C19" s="222"/>
      <c r="D19" s="223"/>
      <c r="E19" s="5">
        <v>45827</v>
      </c>
      <c r="F19" s="19">
        <v>19</v>
      </c>
      <c r="I19" s="221"/>
      <c r="J19" s="222"/>
      <c r="K19" s="223"/>
      <c r="L19" s="5"/>
      <c r="M19" s="6"/>
      <c r="P19" s="213" t="s">
        <v>81</v>
      </c>
      <c r="Q19" s="214"/>
      <c r="R19" s="2">
        <v>9</v>
      </c>
      <c r="S19" s="3">
        <v>45830</v>
      </c>
      <c r="T19" s="37">
        <v>80</v>
      </c>
    </row>
    <row r="20" spans="2:20" ht="29" x14ac:dyDescent="0.2">
      <c r="B20" s="221" t="s">
        <v>83</v>
      </c>
      <c r="C20" s="222"/>
      <c r="D20" s="223"/>
      <c r="E20" s="5">
        <v>45828</v>
      </c>
      <c r="F20" s="19">
        <v>38</v>
      </c>
      <c r="I20" s="221"/>
      <c r="J20" s="222"/>
      <c r="K20" s="223"/>
      <c r="L20" s="5"/>
      <c r="M20" s="6"/>
      <c r="P20" s="215" t="s">
        <v>13</v>
      </c>
      <c r="Q20" s="216"/>
      <c r="R20" s="33">
        <v>10</v>
      </c>
      <c r="S20" s="34">
        <v>45830</v>
      </c>
      <c r="T20" s="36">
        <v>100</v>
      </c>
    </row>
    <row r="21" spans="2:20" ht="29" x14ac:dyDescent="0.2">
      <c r="B21" s="221" t="s">
        <v>84</v>
      </c>
      <c r="C21" s="222"/>
      <c r="D21" s="223"/>
      <c r="E21" s="5">
        <v>45828</v>
      </c>
      <c r="F21" s="19">
        <v>39</v>
      </c>
      <c r="I21" s="221"/>
      <c r="J21" s="222"/>
      <c r="K21" s="223"/>
      <c r="L21" s="5"/>
      <c r="M21" s="6"/>
      <c r="P21" s="217" t="s">
        <v>37</v>
      </c>
      <c r="Q21" s="218"/>
      <c r="R21" s="2">
        <v>7</v>
      </c>
      <c r="S21" s="3">
        <v>45830</v>
      </c>
      <c r="T21" s="37">
        <v>60</v>
      </c>
    </row>
    <row r="22" spans="2:20" ht="29" x14ac:dyDescent="0.2">
      <c r="B22" s="221" t="s">
        <v>85</v>
      </c>
      <c r="C22" s="222"/>
      <c r="D22" s="223"/>
      <c r="E22" s="5">
        <v>45829</v>
      </c>
      <c r="F22" s="19">
        <v>23</v>
      </c>
      <c r="I22" s="221"/>
      <c r="J22" s="222"/>
      <c r="K22" s="223"/>
      <c r="L22" s="5"/>
      <c r="M22" s="6"/>
      <c r="P22" s="213" t="s">
        <v>86</v>
      </c>
      <c r="Q22" s="214"/>
      <c r="R22" s="2">
        <v>6</v>
      </c>
      <c r="S22" s="3">
        <v>45830</v>
      </c>
      <c r="T22" s="37">
        <v>60</v>
      </c>
    </row>
    <row r="23" spans="2:20" ht="29" x14ac:dyDescent="0.2">
      <c r="B23" s="221" t="s">
        <v>9</v>
      </c>
      <c r="C23" s="222"/>
      <c r="D23" s="223"/>
      <c r="E23" s="5">
        <v>45829</v>
      </c>
      <c r="F23" s="19">
        <v>97</v>
      </c>
      <c r="I23" s="221"/>
      <c r="J23" s="222"/>
      <c r="K23" s="223"/>
      <c r="L23" s="5"/>
      <c r="M23" s="6"/>
      <c r="P23" s="213" t="s">
        <v>86</v>
      </c>
      <c r="Q23" s="214"/>
      <c r="R23" s="2">
        <v>11</v>
      </c>
      <c r="S23" s="3">
        <v>45836</v>
      </c>
      <c r="T23" s="37">
        <v>110</v>
      </c>
    </row>
    <row r="24" spans="2:20" ht="29" x14ac:dyDescent="0.2">
      <c r="B24" s="221" t="s">
        <v>87</v>
      </c>
      <c r="C24" s="222"/>
      <c r="D24" s="223"/>
      <c r="E24" s="5">
        <v>45830</v>
      </c>
      <c r="F24" s="19">
        <v>20</v>
      </c>
      <c r="I24" s="221"/>
      <c r="J24" s="222"/>
      <c r="K24" s="223"/>
      <c r="L24" s="5"/>
      <c r="M24" s="6"/>
      <c r="P24" s="215" t="s">
        <v>13</v>
      </c>
      <c r="Q24" s="216"/>
      <c r="R24" s="33">
        <v>12</v>
      </c>
      <c r="S24" s="34">
        <v>45836</v>
      </c>
      <c r="T24" s="36">
        <v>120</v>
      </c>
    </row>
    <row r="25" spans="2:20" ht="29" x14ac:dyDescent="0.2">
      <c r="B25" s="221" t="s">
        <v>88</v>
      </c>
      <c r="C25" s="222"/>
      <c r="D25" s="223"/>
      <c r="E25" s="5">
        <v>45830</v>
      </c>
      <c r="F25" s="19">
        <v>21</v>
      </c>
      <c r="I25" s="221"/>
      <c r="J25" s="222"/>
      <c r="K25" s="223"/>
      <c r="L25" s="5"/>
      <c r="M25" s="6"/>
      <c r="P25" s="213" t="s">
        <v>81</v>
      </c>
      <c r="Q25" s="214"/>
      <c r="R25" s="2">
        <v>11</v>
      </c>
      <c r="S25" s="3">
        <v>45836</v>
      </c>
      <c r="T25" s="37">
        <v>90</v>
      </c>
    </row>
    <row r="26" spans="2:20" ht="29" x14ac:dyDescent="0.2">
      <c r="B26" s="221" t="s">
        <v>89</v>
      </c>
      <c r="C26" s="222"/>
      <c r="D26" s="223"/>
      <c r="E26" s="5">
        <v>45830</v>
      </c>
      <c r="F26" s="19">
        <v>59</v>
      </c>
      <c r="I26" s="221"/>
      <c r="J26" s="222"/>
      <c r="K26" s="223"/>
      <c r="L26" s="5"/>
      <c r="M26" s="6"/>
      <c r="P26" s="217" t="s">
        <v>37</v>
      </c>
      <c r="Q26" s="218"/>
      <c r="R26" s="39">
        <v>11</v>
      </c>
      <c r="S26" s="40">
        <v>45836</v>
      </c>
      <c r="T26" s="41">
        <v>100</v>
      </c>
    </row>
    <row r="27" spans="2:20" ht="29" x14ac:dyDescent="0.2">
      <c r="B27" s="221" t="s">
        <v>33</v>
      </c>
      <c r="C27" s="222"/>
      <c r="D27" s="223"/>
      <c r="E27" s="5">
        <v>45832</v>
      </c>
      <c r="F27" s="6">
        <v>140</v>
      </c>
      <c r="I27" s="221"/>
      <c r="J27" s="222"/>
      <c r="K27" s="223"/>
      <c r="L27" s="5"/>
      <c r="M27" s="6"/>
      <c r="P27" s="219" t="s">
        <v>55</v>
      </c>
      <c r="Q27" s="220"/>
      <c r="R27" s="2">
        <v>6</v>
      </c>
      <c r="S27" s="3">
        <v>45837</v>
      </c>
      <c r="T27" s="37">
        <v>50</v>
      </c>
    </row>
    <row r="28" spans="2:20" ht="29" x14ac:dyDescent="0.2">
      <c r="B28" s="221" t="s">
        <v>90</v>
      </c>
      <c r="C28" s="222"/>
      <c r="D28" s="223"/>
      <c r="E28" s="5">
        <v>45835</v>
      </c>
      <c r="F28" s="19">
        <v>46</v>
      </c>
      <c r="I28" s="221"/>
      <c r="J28" s="222"/>
      <c r="K28" s="223"/>
      <c r="L28" s="5"/>
      <c r="M28" s="6"/>
      <c r="P28" s="217" t="s">
        <v>37</v>
      </c>
      <c r="Q28" s="218"/>
      <c r="R28" s="39">
        <v>8</v>
      </c>
      <c r="S28" s="40">
        <v>45837</v>
      </c>
      <c r="T28" s="41">
        <v>75</v>
      </c>
    </row>
    <row r="29" spans="2:20" ht="29" x14ac:dyDescent="0.2">
      <c r="B29" s="221" t="s">
        <v>91</v>
      </c>
      <c r="C29" s="222"/>
      <c r="D29" s="223"/>
      <c r="E29" s="5">
        <v>45835</v>
      </c>
      <c r="F29" s="6">
        <v>100</v>
      </c>
      <c r="I29" s="221"/>
      <c r="J29" s="222"/>
      <c r="K29" s="223"/>
      <c r="L29" s="5"/>
      <c r="M29" s="6"/>
      <c r="P29" s="215" t="s">
        <v>13</v>
      </c>
      <c r="Q29" s="216"/>
      <c r="R29" s="33">
        <v>11</v>
      </c>
      <c r="S29" s="34">
        <v>45837</v>
      </c>
      <c r="T29" s="36">
        <v>110</v>
      </c>
    </row>
    <row r="30" spans="2:20" ht="29" x14ac:dyDescent="0.2">
      <c r="B30" s="221" t="s">
        <v>92</v>
      </c>
      <c r="C30" s="222"/>
      <c r="D30" s="223"/>
      <c r="E30" s="5">
        <v>45836</v>
      </c>
      <c r="F30" s="19">
        <v>83</v>
      </c>
      <c r="I30" s="221"/>
      <c r="J30" s="222"/>
      <c r="K30" s="223"/>
      <c r="L30" s="5"/>
      <c r="M30" s="6"/>
      <c r="P30" s="213" t="s">
        <v>81</v>
      </c>
      <c r="Q30" s="214"/>
      <c r="R30" s="2">
        <v>11</v>
      </c>
      <c r="S30" s="3">
        <v>45837</v>
      </c>
      <c r="T30" s="37">
        <v>90</v>
      </c>
    </row>
    <row r="31" spans="2:20" ht="29" x14ac:dyDescent="0.2">
      <c r="B31" s="221" t="s">
        <v>93</v>
      </c>
      <c r="C31" s="222"/>
      <c r="D31" s="223"/>
      <c r="E31" s="5">
        <v>45836</v>
      </c>
      <c r="F31" s="19">
        <v>33</v>
      </c>
      <c r="I31" s="221"/>
      <c r="J31" s="222"/>
      <c r="K31" s="223"/>
      <c r="L31" s="5"/>
      <c r="M31" s="6"/>
      <c r="P31" s="213" t="s">
        <v>86</v>
      </c>
      <c r="Q31" s="214"/>
      <c r="R31" s="2">
        <v>11</v>
      </c>
      <c r="S31" s="3">
        <v>45837</v>
      </c>
      <c r="T31" s="37">
        <v>110</v>
      </c>
    </row>
    <row r="32" spans="2:20" ht="29" x14ac:dyDescent="0.2">
      <c r="B32" s="221" t="s">
        <v>94</v>
      </c>
      <c r="C32" s="222"/>
      <c r="D32" s="223"/>
      <c r="E32" s="5">
        <v>45837</v>
      </c>
      <c r="F32" s="19">
        <v>29</v>
      </c>
      <c r="I32" s="221"/>
      <c r="J32" s="222"/>
      <c r="K32" s="223"/>
      <c r="L32" s="5"/>
      <c r="M32" s="6"/>
      <c r="P32" s="213" t="s">
        <v>86</v>
      </c>
      <c r="Q32" s="214"/>
      <c r="R32" s="2">
        <v>7</v>
      </c>
      <c r="S32" s="3">
        <v>45838</v>
      </c>
      <c r="T32" s="37">
        <v>70</v>
      </c>
    </row>
    <row r="33" spans="2:20" ht="29" x14ac:dyDescent="0.2">
      <c r="B33" s="221" t="s">
        <v>80</v>
      </c>
      <c r="C33" s="222"/>
      <c r="D33" s="223"/>
      <c r="E33" s="5">
        <v>45838</v>
      </c>
      <c r="F33" s="19">
        <v>15</v>
      </c>
      <c r="I33" s="221"/>
      <c r="J33" s="222"/>
      <c r="K33" s="223"/>
      <c r="L33" s="5"/>
      <c r="M33" s="6"/>
      <c r="P33" s="217" t="s">
        <v>37</v>
      </c>
      <c r="Q33" s="218"/>
      <c r="R33" s="39">
        <v>3</v>
      </c>
      <c r="S33" s="40">
        <v>45838</v>
      </c>
      <c r="T33" s="41">
        <v>30</v>
      </c>
    </row>
    <row r="34" spans="2:20" ht="29" x14ac:dyDescent="0.2">
      <c r="B34" s="224" t="s">
        <v>95</v>
      </c>
      <c r="C34" s="222"/>
      <c r="D34" s="223"/>
      <c r="E34" s="5">
        <v>45834</v>
      </c>
      <c r="F34" s="6">
        <v>49</v>
      </c>
      <c r="I34" s="221"/>
      <c r="J34" s="222"/>
      <c r="K34" s="223"/>
      <c r="L34" s="5"/>
      <c r="M34" s="6"/>
      <c r="P34" s="213"/>
      <c r="Q34" s="214"/>
      <c r="R34" s="2"/>
      <c r="S34" s="3"/>
      <c r="T34" s="38"/>
    </row>
    <row r="35" spans="2:20" ht="30" thickBot="1" x14ac:dyDescent="0.25">
      <c r="B35" s="221" t="s">
        <v>96</v>
      </c>
      <c r="C35" s="222"/>
      <c r="D35" s="223"/>
      <c r="E35" s="5">
        <v>45815</v>
      </c>
      <c r="F35" s="6">
        <v>35</v>
      </c>
      <c r="I35" s="221"/>
      <c r="J35" s="222"/>
      <c r="K35" s="223"/>
      <c r="L35" s="5"/>
      <c r="M35" s="6"/>
      <c r="P35" s="213"/>
      <c r="Q35" s="214"/>
      <c r="R35" s="2"/>
      <c r="S35" s="3"/>
      <c r="T35" s="38"/>
    </row>
    <row r="36" spans="2:20" ht="30" thickBot="1" x14ac:dyDescent="0.25">
      <c r="B36" s="221"/>
      <c r="C36" s="222"/>
      <c r="D36" s="223"/>
      <c r="E36" s="5"/>
      <c r="F36" s="6"/>
      <c r="I36" s="221"/>
      <c r="J36" s="222"/>
      <c r="K36" s="223"/>
      <c r="L36" s="5"/>
      <c r="M36" s="6"/>
      <c r="P36" s="213"/>
      <c r="Q36" s="214"/>
      <c r="R36" s="2"/>
      <c r="S36" s="3"/>
      <c r="T36" s="4"/>
    </row>
    <row r="37" spans="2:20" x14ac:dyDescent="0.2">
      <c r="B37" s="105" t="s">
        <v>27</v>
      </c>
      <c r="C37" s="106"/>
      <c r="D37" s="106"/>
      <c r="E37" s="107"/>
      <c r="F37" s="111">
        <f>SUM(F9:F36)</f>
        <v>1588</v>
      </c>
      <c r="I37" s="113" t="s">
        <v>28</v>
      </c>
      <c r="J37" s="114"/>
      <c r="K37" s="114"/>
      <c r="L37" s="115"/>
      <c r="M37" s="111">
        <f>SUM(M9:M36)</f>
        <v>1544</v>
      </c>
      <c r="P37" s="119" t="s">
        <v>29</v>
      </c>
      <c r="Q37" s="120"/>
      <c r="R37" s="120"/>
      <c r="S37" s="121"/>
      <c r="T37" s="111">
        <f>SUM(T9:T36)</f>
        <v>2035</v>
      </c>
    </row>
    <row r="38" spans="2:20" ht="17" thickBot="1" x14ac:dyDescent="0.25">
      <c r="B38" s="108"/>
      <c r="C38" s="109"/>
      <c r="D38" s="109"/>
      <c r="E38" s="110"/>
      <c r="F38" s="112"/>
      <c r="I38" s="116"/>
      <c r="J38" s="117"/>
      <c r="K38" s="117"/>
      <c r="L38" s="118"/>
      <c r="M38" s="112"/>
      <c r="P38" s="122"/>
      <c r="Q38" s="123"/>
      <c r="R38" s="123"/>
      <c r="S38" s="124"/>
      <c r="T38" s="112"/>
    </row>
    <row r="40" spans="2:20" ht="17" thickBot="1" x14ac:dyDescent="0.25"/>
    <row r="41" spans="2:20" x14ac:dyDescent="0.2">
      <c r="B41" s="52" t="s">
        <v>30</v>
      </c>
      <c r="C41" s="53"/>
      <c r="D41" s="53"/>
      <c r="E41" s="53"/>
      <c r="F41" s="54"/>
      <c r="G41" s="61">
        <f>F37+M37+T37</f>
        <v>5167</v>
      </c>
      <c r="H41" s="62"/>
      <c r="I41" s="63"/>
    </row>
    <row r="42" spans="2:20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0" x14ac:dyDescent="0.2">
      <c r="B43" s="55"/>
      <c r="C43" s="56"/>
      <c r="D43" s="56"/>
      <c r="E43" s="56"/>
      <c r="F43" s="57"/>
      <c r="G43" s="64"/>
      <c r="H43" s="65"/>
      <c r="I43" s="66"/>
      <c r="K43" s="204" t="s">
        <v>31</v>
      </c>
      <c r="L43" s="205"/>
      <c r="M43" s="205"/>
      <c r="N43" s="206"/>
      <c r="O43" s="79">
        <f>G48-G41</f>
        <v>35979</v>
      </c>
      <c r="P43" s="80"/>
      <c r="Q43" s="81"/>
    </row>
    <row r="44" spans="2:20" ht="17" thickBot="1" x14ac:dyDescent="0.25">
      <c r="B44" s="58"/>
      <c r="C44" s="59"/>
      <c r="D44" s="59"/>
      <c r="E44" s="59"/>
      <c r="F44" s="60"/>
      <c r="G44" s="67"/>
      <c r="H44" s="68"/>
      <c r="I44" s="69"/>
      <c r="K44" s="207"/>
      <c r="L44" s="208"/>
      <c r="M44" s="208"/>
      <c r="N44" s="209"/>
      <c r="O44" s="82"/>
      <c r="P44" s="83"/>
      <c r="Q44" s="84"/>
    </row>
    <row r="45" spans="2:20" x14ac:dyDescent="0.2">
      <c r="K45" s="207"/>
      <c r="L45" s="208"/>
      <c r="M45" s="208"/>
      <c r="N45" s="209"/>
      <c r="O45" s="82"/>
      <c r="P45" s="83"/>
      <c r="Q45" s="84"/>
    </row>
    <row r="46" spans="2:20" x14ac:dyDescent="0.2">
      <c r="K46" s="207"/>
      <c r="L46" s="208"/>
      <c r="M46" s="208"/>
      <c r="N46" s="209"/>
      <c r="O46" s="82"/>
      <c r="P46" s="83"/>
      <c r="Q46" s="84"/>
    </row>
    <row r="47" spans="2:20" ht="17" thickBot="1" x14ac:dyDescent="0.25">
      <c r="K47" s="207"/>
      <c r="L47" s="208"/>
      <c r="M47" s="208"/>
      <c r="N47" s="209"/>
      <c r="O47" s="82"/>
      <c r="P47" s="83"/>
      <c r="Q47" s="84"/>
    </row>
    <row r="48" spans="2:20" x14ac:dyDescent="0.2">
      <c r="B48" s="88" t="s">
        <v>32</v>
      </c>
      <c r="C48" s="89"/>
      <c r="D48" s="89"/>
      <c r="E48" s="89"/>
      <c r="F48" s="90"/>
      <c r="G48" s="195">
        <v>41146</v>
      </c>
      <c r="H48" s="196"/>
      <c r="I48" s="197"/>
      <c r="K48" s="207"/>
      <c r="L48" s="208"/>
      <c r="M48" s="208"/>
      <c r="N48" s="209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198"/>
      <c r="H49" s="199"/>
      <c r="I49" s="200"/>
      <c r="K49" s="210"/>
      <c r="L49" s="211"/>
      <c r="M49" s="211"/>
      <c r="N49" s="212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198"/>
      <c r="H50" s="199"/>
      <c r="I50" s="200"/>
    </row>
    <row r="51" spans="2:17" ht="17" thickBot="1" x14ac:dyDescent="0.25">
      <c r="B51" s="94"/>
      <c r="C51" s="95"/>
      <c r="D51" s="95"/>
      <c r="E51" s="95"/>
      <c r="F51" s="96"/>
      <c r="G51" s="201"/>
      <c r="H51" s="202"/>
      <c r="I51" s="203"/>
    </row>
  </sheetData>
  <mergeCells count="103">
    <mergeCell ref="B6:F7"/>
    <mergeCell ref="B8:D8"/>
    <mergeCell ref="B9:D9"/>
    <mergeCell ref="B18:D18"/>
    <mergeCell ref="B19:D19"/>
    <mergeCell ref="B20:D20"/>
    <mergeCell ref="B21:D21"/>
    <mergeCell ref="B10:D10"/>
    <mergeCell ref="B11:D11"/>
    <mergeCell ref="B12:D12"/>
    <mergeCell ref="B13:D13"/>
    <mergeCell ref="B14:D14"/>
    <mergeCell ref="B15:D15"/>
    <mergeCell ref="B34:D34"/>
    <mergeCell ref="B35:D35"/>
    <mergeCell ref="B36:D36"/>
    <mergeCell ref="I6:M7"/>
    <mergeCell ref="I8:K8"/>
    <mergeCell ref="I9:K9"/>
    <mergeCell ref="I10:K10"/>
    <mergeCell ref="I11:K11"/>
    <mergeCell ref="I12:K12"/>
    <mergeCell ref="I13:K13"/>
    <mergeCell ref="B28:D28"/>
    <mergeCell ref="B29:D29"/>
    <mergeCell ref="B30:D30"/>
    <mergeCell ref="B31:D31"/>
    <mergeCell ref="B32:D32"/>
    <mergeCell ref="B33:D33"/>
    <mergeCell ref="B22:D22"/>
    <mergeCell ref="B23:D23"/>
    <mergeCell ref="B24:D24"/>
    <mergeCell ref="B25:D25"/>
    <mergeCell ref="B26:D26"/>
    <mergeCell ref="B27:D27"/>
    <mergeCell ref="B16:D16"/>
    <mergeCell ref="B17:D17"/>
    <mergeCell ref="I32:K32"/>
    <mergeCell ref="I33:K33"/>
    <mergeCell ref="I34:K34"/>
    <mergeCell ref="I35:K35"/>
    <mergeCell ref="I36:K36"/>
    <mergeCell ref="P6:T7"/>
    <mergeCell ref="I26:K26"/>
    <mergeCell ref="I27:K27"/>
    <mergeCell ref="I28:K28"/>
    <mergeCell ref="I29:K29"/>
    <mergeCell ref="I30:K30"/>
    <mergeCell ref="I31:K31"/>
    <mergeCell ref="I20:K20"/>
    <mergeCell ref="I21:K21"/>
    <mergeCell ref="I22:K22"/>
    <mergeCell ref="I23:K23"/>
    <mergeCell ref="I24:K24"/>
    <mergeCell ref="I25:K25"/>
    <mergeCell ref="I14:K14"/>
    <mergeCell ref="I15:K15"/>
    <mergeCell ref="I16:K16"/>
    <mergeCell ref="I17:K17"/>
    <mergeCell ref="I18:K18"/>
    <mergeCell ref="I19:K19"/>
    <mergeCell ref="P32:Q32"/>
    <mergeCell ref="P33:Q33"/>
    <mergeCell ref="P28:Q28"/>
    <mergeCell ref="P29:Q29"/>
    <mergeCell ref="P18:Q18"/>
    <mergeCell ref="P19:Q19"/>
    <mergeCell ref="P20:Q20"/>
    <mergeCell ref="P21:Q21"/>
    <mergeCell ref="P17:Q17"/>
    <mergeCell ref="P10:Q10"/>
    <mergeCell ref="P11:Q11"/>
    <mergeCell ref="P12:Q12"/>
    <mergeCell ref="P13:Q13"/>
    <mergeCell ref="P14:Q14"/>
    <mergeCell ref="P15:Q15"/>
    <mergeCell ref="P16:Q16"/>
    <mergeCell ref="P30:Q30"/>
    <mergeCell ref="P31:Q31"/>
    <mergeCell ref="B48:F51"/>
    <mergeCell ref="G48:I51"/>
    <mergeCell ref="K43:N49"/>
    <mergeCell ref="O43:Q49"/>
    <mergeCell ref="T37:T38"/>
    <mergeCell ref="B2:T3"/>
    <mergeCell ref="B41:F44"/>
    <mergeCell ref="G41:I44"/>
    <mergeCell ref="P34:Q34"/>
    <mergeCell ref="P35:Q35"/>
    <mergeCell ref="P36:Q36"/>
    <mergeCell ref="B37:E38"/>
    <mergeCell ref="F37:F38"/>
    <mergeCell ref="I37:L38"/>
    <mergeCell ref="M37:M38"/>
    <mergeCell ref="P37:S38"/>
    <mergeCell ref="P22:Q22"/>
    <mergeCell ref="P23:Q23"/>
    <mergeCell ref="P24:Q24"/>
    <mergeCell ref="P25:Q25"/>
    <mergeCell ref="P26:Q26"/>
    <mergeCell ref="P27:Q27"/>
    <mergeCell ref="P8:Q8"/>
    <mergeCell ref="P9:Q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F99E-712F-E34E-883B-FB6AB5AED00C}">
  <dimension ref="B1:AF51"/>
  <sheetViews>
    <sheetView topLeftCell="A6" zoomScale="42" zoomScaleNormal="50" workbookViewId="0">
      <selection activeCell="B15" sqref="B15:D15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19.83203125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  <col min="22" max="22" width="18.83203125" customWidth="1"/>
    <col min="23" max="23" width="25.5" customWidth="1"/>
    <col min="24" max="24" width="49.6640625" customWidth="1"/>
    <col min="25" max="25" width="22" customWidth="1"/>
    <col min="26" max="26" width="27.83203125" customWidth="1"/>
    <col min="28" max="28" width="18.83203125" customWidth="1"/>
    <col min="29" max="29" width="25.5" customWidth="1"/>
    <col min="30" max="30" width="49.6640625" customWidth="1"/>
    <col min="31" max="31" width="22" customWidth="1"/>
    <col min="32" max="32" width="27.83203125" customWidth="1"/>
    <col min="33" max="41" width="9"/>
  </cols>
  <sheetData>
    <row r="1" spans="2:32" ht="17" thickBot="1" x14ac:dyDescent="0.25"/>
    <row r="2" spans="2:32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32" ht="69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3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3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32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  <c r="V6" s="153" t="s">
        <v>3</v>
      </c>
      <c r="W6" s="154"/>
      <c r="X6" s="154"/>
      <c r="Y6" s="154"/>
      <c r="Z6" s="155"/>
      <c r="AB6" s="153" t="s">
        <v>3</v>
      </c>
      <c r="AC6" s="154"/>
      <c r="AD6" s="154"/>
      <c r="AE6" s="154"/>
      <c r="AF6" s="155"/>
    </row>
    <row r="7" spans="2:32" ht="17" customHeight="1" x14ac:dyDescent="0.2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  <c r="V7" s="156"/>
      <c r="W7" s="157"/>
      <c r="X7" s="157"/>
      <c r="Y7" s="157"/>
      <c r="Z7" s="158"/>
      <c r="AB7" s="156"/>
      <c r="AC7" s="157"/>
      <c r="AD7" s="157"/>
      <c r="AE7" s="157"/>
      <c r="AF7" s="158"/>
    </row>
    <row r="8" spans="2:32" ht="37" x14ac:dyDescent="0.2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  <c r="V8" s="165" t="s">
        <v>7</v>
      </c>
      <c r="W8" s="166"/>
      <c r="X8" s="9" t="s">
        <v>8</v>
      </c>
      <c r="Y8" s="9" t="s">
        <v>5</v>
      </c>
      <c r="Z8" s="9" t="s">
        <v>6</v>
      </c>
      <c r="AB8" s="165" t="s">
        <v>7</v>
      </c>
      <c r="AC8" s="166"/>
      <c r="AD8" s="9" t="s">
        <v>8</v>
      </c>
      <c r="AE8" s="9" t="s">
        <v>5</v>
      </c>
      <c r="AF8" s="9" t="s">
        <v>6</v>
      </c>
    </row>
    <row r="9" spans="2:32" ht="29" x14ac:dyDescent="0.2">
      <c r="B9" s="221" t="s">
        <v>52</v>
      </c>
      <c r="C9" s="222"/>
      <c r="D9" s="223"/>
      <c r="E9" s="5">
        <v>45839</v>
      </c>
      <c r="F9" s="6">
        <v>63</v>
      </c>
      <c r="I9" s="221" t="s">
        <v>97</v>
      </c>
      <c r="J9" s="222"/>
      <c r="K9" s="223"/>
      <c r="L9" s="5">
        <v>45839</v>
      </c>
      <c r="M9" s="6">
        <v>55</v>
      </c>
      <c r="P9" s="213" t="s">
        <v>86</v>
      </c>
      <c r="Q9" s="214"/>
      <c r="R9" s="2">
        <v>7</v>
      </c>
      <c r="S9" s="3">
        <v>45839</v>
      </c>
      <c r="T9" s="4">
        <v>70</v>
      </c>
      <c r="V9" s="213" t="s">
        <v>78</v>
      </c>
      <c r="W9" s="214"/>
      <c r="X9" s="2">
        <v>11</v>
      </c>
      <c r="Y9" s="29">
        <v>45851</v>
      </c>
      <c r="Z9" s="4">
        <v>110</v>
      </c>
      <c r="AB9" s="213" t="s">
        <v>37</v>
      </c>
      <c r="AC9" s="214"/>
      <c r="AD9" s="2">
        <v>7</v>
      </c>
      <c r="AE9" s="29">
        <v>45865</v>
      </c>
      <c r="AF9" s="4">
        <v>70</v>
      </c>
    </row>
    <row r="10" spans="2:32" ht="29" x14ac:dyDescent="0.2">
      <c r="B10" s="221" t="s">
        <v>33</v>
      </c>
      <c r="C10" s="222"/>
      <c r="D10" s="223"/>
      <c r="E10" s="5">
        <v>45841</v>
      </c>
      <c r="F10" s="6">
        <v>199</v>
      </c>
      <c r="I10" s="224" t="s">
        <v>76</v>
      </c>
      <c r="J10" s="222"/>
      <c r="K10" s="223"/>
      <c r="L10" s="5">
        <v>45847</v>
      </c>
      <c r="M10" s="6">
        <v>497</v>
      </c>
      <c r="P10" s="213" t="s">
        <v>81</v>
      </c>
      <c r="Q10" s="214"/>
      <c r="R10" s="2">
        <v>7</v>
      </c>
      <c r="S10" s="3">
        <v>45840</v>
      </c>
      <c r="T10" s="4">
        <v>60</v>
      </c>
      <c r="V10" s="213" t="s">
        <v>78</v>
      </c>
      <c r="W10" s="214"/>
      <c r="X10" s="2">
        <v>10</v>
      </c>
      <c r="Y10" s="3">
        <v>45852</v>
      </c>
      <c r="Z10" s="4">
        <v>100</v>
      </c>
      <c r="AB10" s="213" t="s">
        <v>37</v>
      </c>
      <c r="AC10" s="214"/>
      <c r="AD10" s="2">
        <v>6</v>
      </c>
      <c r="AE10" s="3">
        <v>45866</v>
      </c>
      <c r="AF10" s="4">
        <v>60</v>
      </c>
    </row>
    <row r="11" spans="2:32" ht="29" x14ac:dyDescent="0.2">
      <c r="B11" s="221" t="s">
        <v>98</v>
      </c>
      <c r="C11" s="222"/>
      <c r="D11" s="223"/>
      <c r="E11" s="5">
        <v>45842</v>
      </c>
      <c r="F11" s="6">
        <v>430</v>
      </c>
      <c r="I11" s="221" t="s">
        <v>99</v>
      </c>
      <c r="J11" s="222"/>
      <c r="K11" s="223"/>
      <c r="L11" s="5">
        <v>45852</v>
      </c>
      <c r="M11" s="6">
        <v>305</v>
      </c>
      <c r="P11" s="213" t="s">
        <v>37</v>
      </c>
      <c r="Q11" s="214"/>
      <c r="R11" s="2">
        <v>7</v>
      </c>
      <c r="S11" s="3">
        <v>45840</v>
      </c>
      <c r="T11" s="4">
        <v>70</v>
      </c>
      <c r="V11" s="213" t="s">
        <v>81</v>
      </c>
      <c r="W11" s="214"/>
      <c r="X11" s="2">
        <v>10</v>
      </c>
      <c r="Y11" s="3">
        <v>45852</v>
      </c>
      <c r="Z11" s="4">
        <v>100</v>
      </c>
      <c r="AB11" s="213" t="s">
        <v>86</v>
      </c>
      <c r="AC11" s="214"/>
      <c r="AD11" s="2">
        <v>6</v>
      </c>
      <c r="AE11" s="3">
        <v>45866</v>
      </c>
      <c r="AF11" s="4">
        <v>60</v>
      </c>
    </row>
    <row r="12" spans="2:32" ht="29" x14ac:dyDescent="0.2">
      <c r="B12" s="221" t="s">
        <v>100</v>
      </c>
      <c r="C12" s="222"/>
      <c r="D12" s="223"/>
      <c r="E12" s="5">
        <v>45842</v>
      </c>
      <c r="F12" s="19">
        <v>36</v>
      </c>
      <c r="I12" s="221" t="s">
        <v>101</v>
      </c>
      <c r="J12" s="222"/>
      <c r="K12" s="223"/>
      <c r="L12" s="5">
        <v>45856</v>
      </c>
      <c r="M12" s="19">
        <v>290</v>
      </c>
      <c r="P12" s="213" t="s">
        <v>81</v>
      </c>
      <c r="Q12" s="214"/>
      <c r="R12" s="2">
        <v>6</v>
      </c>
      <c r="S12" s="3">
        <v>45841</v>
      </c>
      <c r="T12" s="18">
        <v>60</v>
      </c>
      <c r="V12" s="213" t="s">
        <v>86</v>
      </c>
      <c r="W12" s="214"/>
      <c r="X12" s="2">
        <v>10</v>
      </c>
      <c r="Y12" s="3">
        <v>45852</v>
      </c>
      <c r="Z12" s="18">
        <v>100</v>
      </c>
      <c r="AB12" s="213" t="s">
        <v>37</v>
      </c>
      <c r="AC12" s="214"/>
      <c r="AD12" s="2">
        <v>5</v>
      </c>
      <c r="AE12" s="3">
        <v>45867</v>
      </c>
      <c r="AF12" s="18">
        <v>50</v>
      </c>
    </row>
    <row r="13" spans="2:32" ht="29" x14ac:dyDescent="0.2">
      <c r="B13" s="221" t="s">
        <v>102</v>
      </c>
      <c r="C13" s="222"/>
      <c r="D13" s="223"/>
      <c r="E13" s="5">
        <v>45843</v>
      </c>
      <c r="F13" s="19">
        <v>23</v>
      </c>
      <c r="I13" s="221"/>
      <c r="J13" s="222"/>
      <c r="K13" s="223"/>
      <c r="L13" s="5"/>
      <c r="M13" s="6"/>
      <c r="P13" s="213" t="s">
        <v>37</v>
      </c>
      <c r="Q13" s="214"/>
      <c r="R13" s="2">
        <v>6</v>
      </c>
      <c r="S13" s="3">
        <v>45841</v>
      </c>
      <c r="T13" s="18">
        <v>60</v>
      </c>
      <c r="V13" s="213" t="s">
        <v>37</v>
      </c>
      <c r="W13" s="214"/>
      <c r="X13" s="2">
        <v>9</v>
      </c>
      <c r="Y13" s="3">
        <v>45852</v>
      </c>
      <c r="Z13" s="18">
        <v>90</v>
      </c>
      <c r="AB13" s="213" t="s">
        <v>81</v>
      </c>
      <c r="AC13" s="214"/>
      <c r="AD13" s="2">
        <v>6</v>
      </c>
      <c r="AE13" s="3">
        <v>45868</v>
      </c>
      <c r="AF13" s="18">
        <v>60</v>
      </c>
    </row>
    <row r="14" spans="2:32" ht="29" x14ac:dyDescent="0.2">
      <c r="B14" s="221" t="s">
        <v>103</v>
      </c>
      <c r="C14" s="222"/>
      <c r="D14" s="223"/>
      <c r="E14" s="5">
        <v>45847</v>
      </c>
      <c r="F14" s="6">
        <v>75</v>
      </c>
      <c r="I14" s="221"/>
      <c r="J14" s="222"/>
      <c r="K14" s="223"/>
      <c r="L14" s="5"/>
      <c r="M14" s="6"/>
      <c r="P14" s="213" t="s">
        <v>55</v>
      </c>
      <c r="Q14" s="214"/>
      <c r="R14" s="2">
        <v>6</v>
      </c>
      <c r="S14" s="3">
        <v>45842</v>
      </c>
      <c r="T14" s="4">
        <v>50</v>
      </c>
      <c r="V14" s="213" t="s">
        <v>78</v>
      </c>
      <c r="W14" s="214"/>
      <c r="X14" s="2">
        <v>6</v>
      </c>
      <c r="Y14" s="3">
        <v>45853</v>
      </c>
      <c r="Z14" s="4">
        <v>60</v>
      </c>
      <c r="AB14" s="213" t="s">
        <v>81</v>
      </c>
      <c r="AC14" s="214"/>
      <c r="AD14" s="2">
        <v>6</v>
      </c>
      <c r="AE14" s="3">
        <v>45869</v>
      </c>
      <c r="AF14" s="4">
        <v>60</v>
      </c>
    </row>
    <row r="15" spans="2:32" ht="29" x14ac:dyDescent="0.2">
      <c r="B15" s="221" t="s">
        <v>104</v>
      </c>
      <c r="C15" s="222"/>
      <c r="D15" s="223"/>
      <c r="E15" s="5">
        <v>45848</v>
      </c>
      <c r="F15" s="6">
        <v>223</v>
      </c>
      <c r="I15" s="221"/>
      <c r="J15" s="222"/>
      <c r="K15" s="223"/>
      <c r="L15" s="5"/>
      <c r="M15" s="6"/>
      <c r="P15" s="213" t="s">
        <v>86</v>
      </c>
      <c r="Q15" s="214"/>
      <c r="R15" s="2">
        <v>6</v>
      </c>
      <c r="S15" s="3">
        <v>45842</v>
      </c>
      <c r="T15" s="4">
        <v>60</v>
      </c>
      <c r="V15" s="213" t="s">
        <v>81</v>
      </c>
      <c r="W15" s="214"/>
      <c r="X15" s="2">
        <v>6</v>
      </c>
      <c r="Y15" s="3">
        <v>45853</v>
      </c>
      <c r="Z15" s="4">
        <v>60</v>
      </c>
      <c r="AB15" s="213"/>
      <c r="AC15" s="214"/>
      <c r="AD15" s="2"/>
      <c r="AE15" s="3"/>
      <c r="AF15" s="4"/>
    </row>
    <row r="16" spans="2:32" ht="29" x14ac:dyDescent="0.2">
      <c r="B16" s="221" t="s">
        <v>105</v>
      </c>
      <c r="C16" s="222"/>
      <c r="D16" s="223"/>
      <c r="E16" s="5">
        <v>45849</v>
      </c>
      <c r="F16" s="6">
        <v>182</v>
      </c>
      <c r="I16" s="221"/>
      <c r="J16" s="222"/>
      <c r="K16" s="223"/>
      <c r="L16" s="5"/>
      <c r="M16" s="6"/>
      <c r="P16" s="213" t="s">
        <v>86</v>
      </c>
      <c r="Q16" s="214"/>
      <c r="R16" s="2">
        <v>10</v>
      </c>
      <c r="S16" s="3">
        <v>45843</v>
      </c>
      <c r="T16" s="18">
        <v>100</v>
      </c>
      <c r="V16" s="213" t="s">
        <v>81</v>
      </c>
      <c r="W16" s="214"/>
      <c r="X16" s="2">
        <v>4</v>
      </c>
      <c r="Y16" s="3">
        <v>45854</v>
      </c>
      <c r="Z16" s="4">
        <v>40</v>
      </c>
      <c r="AB16" s="213"/>
      <c r="AC16" s="214"/>
      <c r="AD16" s="2"/>
      <c r="AE16" s="3"/>
      <c r="AF16" s="4"/>
    </row>
    <row r="17" spans="2:32" ht="29" x14ac:dyDescent="0.2">
      <c r="B17" s="224" t="s">
        <v>102</v>
      </c>
      <c r="C17" s="222"/>
      <c r="D17" s="223"/>
      <c r="E17" s="5">
        <v>45850</v>
      </c>
      <c r="F17" s="6">
        <v>29</v>
      </c>
      <c r="I17" s="221"/>
      <c r="J17" s="222"/>
      <c r="K17" s="223"/>
      <c r="L17" s="5"/>
      <c r="M17" s="6"/>
      <c r="P17" s="213" t="s">
        <v>55</v>
      </c>
      <c r="Q17" s="214"/>
      <c r="R17" s="2">
        <v>6</v>
      </c>
      <c r="S17" s="3">
        <v>45843</v>
      </c>
      <c r="T17" s="4">
        <v>50</v>
      </c>
      <c r="V17" s="213" t="s">
        <v>37</v>
      </c>
      <c r="W17" s="214"/>
      <c r="X17" s="2">
        <v>4</v>
      </c>
      <c r="Y17" s="3">
        <v>45854</v>
      </c>
      <c r="Z17" s="4">
        <v>40</v>
      </c>
      <c r="AB17" s="213"/>
      <c r="AC17" s="214"/>
      <c r="AD17" s="2"/>
      <c r="AE17" s="3"/>
      <c r="AF17" s="4"/>
    </row>
    <row r="18" spans="2:32" ht="29" x14ac:dyDescent="0.2">
      <c r="B18" s="221" t="s">
        <v>106</v>
      </c>
      <c r="C18" s="222"/>
      <c r="D18" s="223"/>
      <c r="E18" s="5">
        <v>45851</v>
      </c>
      <c r="F18" s="19">
        <v>229</v>
      </c>
      <c r="I18" s="221"/>
      <c r="J18" s="222"/>
      <c r="K18" s="223"/>
      <c r="L18" s="5"/>
      <c r="M18" s="6"/>
      <c r="P18" s="234" t="s">
        <v>13</v>
      </c>
      <c r="Q18" s="214"/>
      <c r="R18" s="2">
        <v>10</v>
      </c>
      <c r="S18" s="3">
        <v>45843</v>
      </c>
      <c r="T18" s="4">
        <v>100</v>
      </c>
      <c r="V18" s="213" t="s">
        <v>55</v>
      </c>
      <c r="W18" s="214"/>
      <c r="X18" s="2">
        <v>4</v>
      </c>
      <c r="Y18" s="3">
        <v>45854</v>
      </c>
      <c r="Z18" s="4">
        <v>40</v>
      </c>
      <c r="AB18" s="213"/>
      <c r="AC18" s="214"/>
      <c r="AD18" s="2"/>
      <c r="AE18" s="3"/>
      <c r="AF18" s="4"/>
    </row>
    <row r="19" spans="2:32" ht="29" x14ac:dyDescent="0.2">
      <c r="B19" s="221" t="s">
        <v>107</v>
      </c>
      <c r="C19" s="222"/>
      <c r="D19" s="223"/>
      <c r="E19" s="5">
        <v>45851</v>
      </c>
      <c r="F19" s="6">
        <v>25</v>
      </c>
      <c r="I19" s="221"/>
      <c r="J19" s="222"/>
      <c r="K19" s="223"/>
      <c r="L19" s="5"/>
      <c r="M19" s="6"/>
      <c r="P19" s="234" t="s">
        <v>37</v>
      </c>
      <c r="Q19" s="214"/>
      <c r="R19" s="2" t="s">
        <v>108</v>
      </c>
      <c r="S19" s="3">
        <v>45843</v>
      </c>
      <c r="T19" s="4">
        <v>65</v>
      </c>
      <c r="V19" s="213" t="s">
        <v>55</v>
      </c>
      <c r="W19" s="214"/>
      <c r="X19" s="2">
        <v>6</v>
      </c>
      <c r="Y19" s="3">
        <v>45855</v>
      </c>
      <c r="Z19" s="4">
        <v>60</v>
      </c>
      <c r="AB19" s="213"/>
      <c r="AC19" s="214"/>
      <c r="AD19" s="2"/>
      <c r="AE19" s="3"/>
      <c r="AF19" s="4"/>
    </row>
    <row r="20" spans="2:32" ht="29" x14ac:dyDescent="0.2">
      <c r="B20" s="221" t="s">
        <v>102</v>
      </c>
      <c r="C20" s="222"/>
      <c r="D20" s="223"/>
      <c r="E20" s="5">
        <v>45852</v>
      </c>
      <c r="F20" s="6">
        <v>36</v>
      </c>
      <c r="I20" s="221"/>
      <c r="J20" s="222"/>
      <c r="K20" s="223"/>
      <c r="L20" s="5"/>
      <c r="M20" s="6"/>
      <c r="P20" s="213" t="s">
        <v>37</v>
      </c>
      <c r="Q20" s="214"/>
      <c r="R20" s="2" t="s">
        <v>109</v>
      </c>
      <c r="S20" s="3">
        <v>45846</v>
      </c>
      <c r="T20" s="4">
        <v>55</v>
      </c>
      <c r="V20" s="213" t="s">
        <v>37</v>
      </c>
      <c r="W20" s="214"/>
      <c r="X20" s="2">
        <v>6</v>
      </c>
      <c r="Y20" s="3">
        <v>45855</v>
      </c>
      <c r="Z20" s="4">
        <v>60</v>
      </c>
      <c r="AB20" s="213"/>
      <c r="AC20" s="214"/>
      <c r="AD20" s="2"/>
      <c r="AE20" s="3"/>
      <c r="AF20" s="4"/>
    </row>
    <row r="21" spans="2:32" ht="29" x14ac:dyDescent="0.2">
      <c r="B21" s="224" t="s">
        <v>110</v>
      </c>
      <c r="C21" s="222"/>
      <c r="D21" s="223"/>
      <c r="E21" s="5">
        <v>45853</v>
      </c>
      <c r="F21" s="19">
        <v>23</v>
      </c>
      <c r="I21" s="221"/>
      <c r="J21" s="222"/>
      <c r="K21" s="223"/>
      <c r="L21" s="5"/>
      <c r="M21" s="6"/>
      <c r="P21" s="213" t="s">
        <v>81</v>
      </c>
      <c r="Q21" s="214"/>
      <c r="R21" s="2">
        <v>6</v>
      </c>
      <c r="S21" s="3">
        <v>45846</v>
      </c>
      <c r="T21" s="4">
        <v>50</v>
      </c>
      <c r="V21" s="213" t="s">
        <v>111</v>
      </c>
      <c r="W21" s="214"/>
      <c r="X21" s="2">
        <v>6</v>
      </c>
      <c r="Y21" s="3">
        <v>45856</v>
      </c>
      <c r="Z21" s="4">
        <v>60</v>
      </c>
      <c r="AB21" s="213"/>
      <c r="AC21" s="214"/>
      <c r="AD21" s="2"/>
      <c r="AE21" s="3"/>
      <c r="AF21" s="4"/>
    </row>
    <row r="22" spans="2:32" ht="29" x14ac:dyDescent="0.2">
      <c r="B22" s="224" t="s">
        <v>112</v>
      </c>
      <c r="C22" s="222"/>
      <c r="D22" s="223"/>
      <c r="E22" s="5">
        <v>45856</v>
      </c>
      <c r="F22" s="19">
        <v>140</v>
      </c>
      <c r="I22" s="221"/>
      <c r="J22" s="222"/>
      <c r="K22" s="223"/>
      <c r="L22" s="5"/>
      <c r="M22" s="6"/>
      <c r="P22" s="213" t="s">
        <v>81</v>
      </c>
      <c r="Q22" s="214"/>
      <c r="R22" s="2">
        <v>6</v>
      </c>
      <c r="S22" s="3">
        <v>45847</v>
      </c>
      <c r="T22" s="4">
        <v>60</v>
      </c>
      <c r="V22" s="213" t="s">
        <v>86</v>
      </c>
      <c r="W22" s="214"/>
      <c r="X22" s="2">
        <v>6</v>
      </c>
      <c r="Y22" s="3">
        <v>45856</v>
      </c>
      <c r="Z22" s="4">
        <v>60</v>
      </c>
      <c r="AB22" s="213"/>
      <c r="AC22" s="214"/>
      <c r="AD22" s="2"/>
      <c r="AE22" s="3"/>
      <c r="AF22" s="4"/>
    </row>
    <row r="23" spans="2:32" ht="29" x14ac:dyDescent="0.2">
      <c r="B23" s="221" t="s">
        <v>113</v>
      </c>
      <c r="C23" s="222"/>
      <c r="D23" s="223"/>
      <c r="E23" s="5">
        <v>45857</v>
      </c>
      <c r="F23" s="6">
        <v>39</v>
      </c>
      <c r="I23" s="221"/>
      <c r="J23" s="222"/>
      <c r="K23" s="223"/>
      <c r="L23" s="5"/>
      <c r="M23" s="6"/>
      <c r="P23" s="213" t="s">
        <v>86</v>
      </c>
      <c r="Q23" s="214"/>
      <c r="R23" s="2">
        <v>6</v>
      </c>
      <c r="S23" s="3">
        <v>45847</v>
      </c>
      <c r="T23" s="4">
        <v>60</v>
      </c>
      <c r="V23" s="213" t="s">
        <v>37</v>
      </c>
      <c r="W23" s="214"/>
      <c r="X23" s="2">
        <v>5</v>
      </c>
      <c r="Y23" s="3">
        <v>45856</v>
      </c>
      <c r="Z23" s="4">
        <v>50</v>
      </c>
      <c r="AB23" s="213"/>
      <c r="AC23" s="214"/>
      <c r="AD23" s="2"/>
      <c r="AE23" s="3"/>
      <c r="AF23" s="4"/>
    </row>
    <row r="24" spans="2:32" ht="29" x14ac:dyDescent="0.2">
      <c r="B24" s="221" t="s">
        <v>114</v>
      </c>
      <c r="C24" s="222"/>
      <c r="D24" s="223"/>
      <c r="E24" s="5">
        <v>45857</v>
      </c>
      <c r="F24" s="6">
        <v>8</v>
      </c>
      <c r="I24" s="221"/>
      <c r="J24" s="222"/>
      <c r="K24" s="223"/>
      <c r="L24" s="5"/>
      <c r="M24" s="6"/>
      <c r="P24" s="213" t="s">
        <v>37</v>
      </c>
      <c r="Q24" s="214"/>
      <c r="R24" s="2">
        <v>6</v>
      </c>
      <c r="S24" s="3">
        <v>45847</v>
      </c>
      <c r="T24" s="4">
        <v>60</v>
      </c>
      <c r="V24" s="234" t="s">
        <v>37</v>
      </c>
      <c r="W24" s="214"/>
      <c r="X24" s="2">
        <v>4</v>
      </c>
      <c r="Y24" s="3">
        <v>45857</v>
      </c>
      <c r="Z24" s="4">
        <v>40</v>
      </c>
      <c r="AB24" s="234"/>
      <c r="AC24" s="214"/>
      <c r="AD24" s="2"/>
      <c r="AE24" s="3"/>
      <c r="AF24" s="4"/>
    </row>
    <row r="25" spans="2:32" ht="29" x14ac:dyDescent="0.2">
      <c r="B25" s="221" t="s">
        <v>102</v>
      </c>
      <c r="C25" s="222"/>
      <c r="D25" s="223"/>
      <c r="E25" s="5">
        <v>45864</v>
      </c>
      <c r="F25" s="6">
        <v>21</v>
      </c>
      <c r="I25" s="221"/>
      <c r="J25" s="222"/>
      <c r="K25" s="223"/>
      <c r="L25" s="5"/>
      <c r="M25" s="6"/>
      <c r="P25" s="234" t="s">
        <v>37</v>
      </c>
      <c r="Q25" s="214"/>
      <c r="R25" s="2">
        <v>6</v>
      </c>
      <c r="S25" s="3">
        <v>45848</v>
      </c>
      <c r="T25" s="4">
        <v>60</v>
      </c>
      <c r="V25" s="213" t="s">
        <v>78</v>
      </c>
      <c r="W25" s="214"/>
      <c r="X25" s="2">
        <v>4</v>
      </c>
      <c r="Y25" s="3">
        <v>45857</v>
      </c>
      <c r="Z25" s="4">
        <v>40</v>
      </c>
      <c r="AB25" s="213"/>
      <c r="AC25" s="214"/>
      <c r="AD25" s="2"/>
      <c r="AE25" s="3"/>
      <c r="AF25" s="4"/>
    </row>
    <row r="26" spans="2:32" ht="29" x14ac:dyDescent="0.2">
      <c r="B26" s="221" t="s">
        <v>102</v>
      </c>
      <c r="C26" s="222"/>
      <c r="D26" s="223"/>
      <c r="E26" s="5">
        <v>45865</v>
      </c>
      <c r="F26" s="6">
        <v>11</v>
      </c>
      <c r="I26" s="221"/>
      <c r="J26" s="222"/>
      <c r="K26" s="223"/>
      <c r="L26" s="5"/>
      <c r="M26" s="6"/>
      <c r="P26" s="213" t="s">
        <v>86</v>
      </c>
      <c r="Q26" s="214"/>
      <c r="R26" s="2">
        <v>6</v>
      </c>
      <c r="S26" s="3">
        <v>45848</v>
      </c>
      <c r="T26" s="4">
        <v>60</v>
      </c>
      <c r="V26" s="213" t="s">
        <v>81</v>
      </c>
      <c r="W26" s="214"/>
      <c r="X26" s="28">
        <v>5</v>
      </c>
      <c r="Y26" s="3">
        <v>45858</v>
      </c>
      <c r="Z26" s="4">
        <v>50</v>
      </c>
      <c r="AB26" s="213"/>
      <c r="AC26" s="214"/>
      <c r="AD26" s="28"/>
      <c r="AE26" s="3"/>
      <c r="AF26" s="4"/>
    </row>
    <row r="27" spans="2:32" ht="29" x14ac:dyDescent="0.2">
      <c r="B27" s="221" t="s">
        <v>115</v>
      </c>
      <c r="C27" s="222"/>
      <c r="D27" s="223"/>
      <c r="E27" s="5">
        <v>45864</v>
      </c>
      <c r="F27" s="6">
        <v>10</v>
      </c>
      <c r="I27" s="221"/>
      <c r="J27" s="222"/>
      <c r="K27" s="223"/>
      <c r="L27" s="5"/>
      <c r="M27" s="6"/>
      <c r="P27" s="213" t="s">
        <v>81</v>
      </c>
      <c r="Q27" s="214"/>
      <c r="R27" s="2">
        <v>6</v>
      </c>
      <c r="S27" s="3">
        <v>45849</v>
      </c>
      <c r="T27" s="4">
        <v>60</v>
      </c>
      <c r="V27" s="213" t="s">
        <v>37</v>
      </c>
      <c r="W27" s="214"/>
      <c r="X27" s="2">
        <v>5</v>
      </c>
      <c r="Y27" s="3">
        <v>45858</v>
      </c>
      <c r="Z27" s="4">
        <v>50</v>
      </c>
      <c r="AB27" s="213"/>
      <c r="AC27" s="214"/>
      <c r="AD27" s="2"/>
      <c r="AE27" s="3"/>
      <c r="AF27" s="4"/>
    </row>
    <row r="28" spans="2:32" ht="29" x14ac:dyDescent="0.2">
      <c r="B28" s="221" t="s">
        <v>115</v>
      </c>
      <c r="C28" s="222"/>
      <c r="D28" s="223"/>
      <c r="E28" s="5">
        <v>45865</v>
      </c>
      <c r="F28" s="6">
        <v>15</v>
      </c>
      <c r="I28" s="221"/>
      <c r="J28" s="222"/>
      <c r="K28" s="223"/>
      <c r="L28" s="5"/>
      <c r="M28" s="6"/>
      <c r="P28" s="213" t="s">
        <v>86</v>
      </c>
      <c r="Q28" s="214"/>
      <c r="R28" s="2">
        <v>6</v>
      </c>
      <c r="S28" s="3">
        <v>45849</v>
      </c>
      <c r="T28" s="4">
        <v>60</v>
      </c>
      <c r="V28" s="234" t="s">
        <v>37</v>
      </c>
      <c r="W28" s="214"/>
      <c r="X28" s="28">
        <v>6</v>
      </c>
      <c r="Y28" s="3">
        <v>45860</v>
      </c>
      <c r="Z28" s="4">
        <v>60</v>
      </c>
      <c r="AB28" s="234"/>
      <c r="AC28" s="214"/>
      <c r="AD28" s="28"/>
      <c r="AE28" s="3"/>
      <c r="AF28" s="4"/>
    </row>
    <row r="29" spans="2:32" ht="29" x14ac:dyDescent="0.2">
      <c r="B29" s="221" t="s">
        <v>116</v>
      </c>
      <c r="C29" s="222"/>
      <c r="D29" s="223"/>
      <c r="E29" s="5">
        <v>45866</v>
      </c>
      <c r="F29" s="6">
        <v>45</v>
      </c>
      <c r="I29" s="221"/>
      <c r="J29" s="222"/>
      <c r="K29" s="223"/>
      <c r="L29" s="5"/>
      <c r="M29" s="6"/>
      <c r="P29" s="213" t="s">
        <v>37</v>
      </c>
      <c r="Q29" s="214"/>
      <c r="R29" s="2" t="s">
        <v>117</v>
      </c>
      <c r="S29" s="3">
        <v>45849</v>
      </c>
      <c r="T29" s="4">
        <v>35</v>
      </c>
      <c r="V29" s="213" t="s">
        <v>81</v>
      </c>
      <c r="W29" s="214"/>
      <c r="X29" s="2">
        <v>9</v>
      </c>
      <c r="Y29" s="3">
        <v>45860</v>
      </c>
      <c r="Z29" s="4">
        <v>90</v>
      </c>
      <c r="AB29" s="213"/>
      <c r="AC29" s="214"/>
      <c r="AD29" s="2"/>
      <c r="AE29" s="3"/>
      <c r="AF29" s="4"/>
    </row>
    <row r="30" spans="2:32" ht="29" x14ac:dyDescent="0.2">
      <c r="B30" s="221" t="s">
        <v>118</v>
      </c>
      <c r="C30" s="222"/>
      <c r="D30" s="223"/>
      <c r="E30" s="5">
        <v>45866</v>
      </c>
      <c r="F30" s="19">
        <v>86</v>
      </c>
      <c r="I30" s="221"/>
      <c r="J30" s="222"/>
      <c r="K30" s="223"/>
      <c r="L30" s="5"/>
      <c r="M30" s="6"/>
      <c r="P30" s="213" t="s">
        <v>86</v>
      </c>
      <c r="Q30" s="214"/>
      <c r="R30" s="2">
        <v>10</v>
      </c>
      <c r="S30" s="3">
        <v>45850</v>
      </c>
      <c r="T30" s="4">
        <v>100</v>
      </c>
      <c r="V30" s="234" t="s">
        <v>37</v>
      </c>
      <c r="W30" s="214"/>
      <c r="X30" s="2">
        <v>3</v>
      </c>
      <c r="Y30" s="3">
        <v>45861</v>
      </c>
      <c r="Z30" s="4">
        <v>30</v>
      </c>
      <c r="AB30" s="234"/>
      <c r="AC30" s="214"/>
      <c r="AD30" s="2"/>
      <c r="AE30" s="3"/>
      <c r="AF30" s="4"/>
    </row>
    <row r="31" spans="2:32" ht="29" x14ac:dyDescent="0.2">
      <c r="B31" s="221"/>
      <c r="C31" s="222"/>
      <c r="D31" s="223"/>
      <c r="E31" s="5"/>
      <c r="F31" s="6"/>
      <c r="I31" s="221"/>
      <c r="J31" s="222"/>
      <c r="K31" s="223"/>
      <c r="L31" s="5"/>
      <c r="M31" s="6"/>
      <c r="P31" s="213" t="s">
        <v>81</v>
      </c>
      <c r="Q31" s="214"/>
      <c r="R31" s="2">
        <v>10</v>
      </c>
      <c r="S31" s="3">
        <v>45850</v>
      </c>
      <c r="T31" s="4">
        <v>100</v>
      </c>
      <c r="V31" s="213" t="s">
        <v>37</v>
      </c>
      <c r="W31" s="214"/>
      <c r="X31" s="2">
        <v>5</v>
      </c>
      <c r="Y31" s="3">
        <v>45863</v>
      </c>
      <c r="Z31" s="4">
        <v>50</v>
      </c>
      <c r="AB31" s="213"/>
      <c r="AC31" s="214"/>
      <c r="AD31" s="2"/>
      <c r="AE31" s="3"/>
      <c r="AF31" s="4"/>
    </row>
    <row r="32" spans="2:32" ht="29" x14ac:dyDescent="0.2">
      <c r="B32" s="221"/>
      <c r="C32" s="222"/>
      <c r="D32" s="223"/>
      <c r="E32" s="5"/>
      <c r="F32" s="6"/>
      <c r="I32" s="221"/>
      <c r="J32" s="222"/>
      <c r="K32" s="223"/>
      <c r="L32" s="5"/>
      <c r="M32" s="6"/>
      <c r="P32" s="213" t="s">
        <v>13</v>
      </c>
      <c r="Q32" s="214"/>
      <c r="R32" s="2">
        <v>10</v>
      </c>
      <c r="S32" s="3">
        <v>45850</v>
      </c>
      <c r="T32" s="4">
        <v>100</v>
      </c>
      <c r="V32" s="213" t="s">
        <v>119</v>
      </c>
      <c r="W32" s="214"/>
      <c r="X32" s="2">
        <v>5</v>
      </c>
      <c r="Y32" s="3">
        <v>45863</v>
      </c>
      <c r="Z32" s="4">
        <v>50</v>
      </c>
      <c r="AB32" s="213"/>
      <c r="AC32" s="214"/>
      <c r="AD32" s="2"/>
      <c r="AE32" s="3"/>
      <c r="AF32" s="4"/>
    </row>
    <row r="33" spans="2:32" ht="29" x14ac:dyDescent="0.2">
      <c r="B33" s="221"/>
      <c r="C33" s="222"/>
      <c r="D33" s="223"/>
      <c r="E33" s="5"/>
      <c r="F33" s="6"/>
      <c r="I33" s="221"/>
      <c r="J33" s="222"/>
      <c r="K33" s="223"/>
      <c r="L33" s="5"/>
      <c r="M33" s="6"/>
      <c r="P33" s="213" t="s">
        <v>37</v>
      </c>
      <c r="Q33" s="214"/>
      <c r="R33" s="2">
        <v>7</v>
      </c>
      <c r="S33" s="3">
        <v>45850</v>
      </c>
      <c r="T33" s="4">
        <v>70</v>
      </c>
      <c r="V33" s="213" t="s">
        <v>86</v>
      </c>
      <c r="W33" s="214"/>
      <c r="X33" s="2">
        <v>9</v>
      </c>
      <c r="Y33" s="3">
        <v>45864</v>
      </c>
      <c r="Z33" s="4">
        <v>90</v>
      </c>
      <c r="AB33" s="213"/>
      <c r="AC33" s="214"/>
      <c r="AD33" s="2"/>
      <c r="AE33" s="3"/>
      <c r="AF33" s="4"/>
    </row>
    <row r="34" spans="2:32" ht="29" x14ac:dyDescent="0.2">
      <c r="B34" s="221"/>
      <c r="C34" s="222"/>
      <c r="D34" s="223"/>
      <c r="E34" s="5"/>
      <c r="F34" s="6"/>
      <c r="I34" s="221"/>
      <c r="J34" s="222"/>
      <c r="K34" s="223"/>
      <c r="L34" s="5"/>
      <c r="M34" s="6"/>
      <c r="P34" s="213" t="s">
        <v>37</v>
      </c>
      <c r="Q34" s="214"/>
      <c r="R34" s="2">
        <v>11</v>
      </c>
      <c r="S34" s="3">
        <v>45851</v>
      </c>
      <c r="T34" s="4">
        <v>110</v>
      </c>
      <c r="V34" s="213" t="s">
        <v>37</v>
      </c>
      <c r="W34" s="214"/>
      <c r="X34" s="2">
        <v>9</v>
      </c>
      <c r="Y34" s="3">
        <v>45864</v>
      </c>
      <c r="Z34" s="4">
        <v>90</v>
      </c>
      <c r="AB34" s="213"/>
      <c r="AC34" s="214"/>
      <c r="AD34" s="2"/>
      <c r="AE34" s="3"/>
      <c r="AF34" s="4"/>
    </row>
    <row r="35" spans="2:32" ht="29" x14ac:dyDescent="0.2">
      <c r="B35" s="221"/>
      <c r="C35" s="222"/>
      <c r="D35" s="223"/>
      <c r="E35" s="5"/>
      <c r="F35" s="6"/>
      <c r="I35" s="221"/>
      <c r="J35" s="222"/>
      <c r="K35" s="223"/>
      <c r="L35" s="5"/>
      <c r="M35" s="6"/>
      <c r="P35" s="213" t="s">
        <v>86</v>
      </c>
      <c r="Q35" s="214"/>
      <c r="R35" s="2">
        <v>11</v>
      </c>
      <c r="S35" s="3">
        <v>45851</v>
      </c>
      <c r="T35" s="20">
        <v>110</v>
      </c>
      <c r="V35" s="231" t="s">
        <v>81</v>
      </c>
      <c r="W35" s="232"/>
      <c r="X35" s="21">
        <v>5</v>
      </c>
      <c r="Y35" s="22">
        <v>45864</v>
      </c>
      <c r="Z35" s="20">
        <v>50</v>
      </c>
      <c r="AB35" s="231"/>
      <c r="AC35" s="232"/>
      <c r="AD35" s="21"/>
      <c r="AE35" s="22"/>
      <c r="AF35" s="20"/>
    </row>
    <row r="36" spans="2:32" ht="29" x14ac:dyDescent="0.2">
      <c r="B36" s="221"/>
      <c r="C36" s="222"/>
      <c r="D36" s="223"/>
      <c r="E36" s="5"/>
      <c r="F36" s="6"/>
      <c r="I36" s="221"/>
      <c r="J36" s="222"/>
      <c r="K36" s="223"/>
      <c r="L36" s="5"/>
      <c r="M36" s="6"/>
      <c r="P36" s="213" t="s">
        <v>81</v>
      </c>
      <c r="Q36" s="214"/>
      <c r="R36" s="2">
        <v>11</v>
      </c>
      <c r="S36" s="25">
        <v>45851</v>
      </c>
      <c r="T36" s="26">
        <v>110</v>
      </c>
      <c r="V36" s="233" t="s">
        <v>86</v>
      </c>
      <c r="W36" s="233"/>
      <c r="X36" s="27">
        <v>6</v>
      </c>
      <c r="Y36" s="23">
        <v>45865</v>
      </c>
      <c r="Z36" s="24">
        <v>60</v>
      </c>
      <c r="AB36" s="233"/>
      <c r="AC36" s="235"/>
      <c r="AD36" s="30"/>
      <c r="AE36" s="31"/>
      <c r="AF36" s="26"/>
    </row>
    <row r="37" spans="2:32" ht="15.75" customHeight="1" x14ac:dyDescent="0.2">
      <c r="B37" s="105" t="s">
        <v>27</v>
      </c>
      <c r="C37" s="106"/>
      <c r="D37" s="106"/>
      <c r="E37" s="107"/>
      <c r="F37" s="111">
        <f>SUM(F9:F36)</f>
        <v>1948</v>
      </c>
      <c r="I37" s="113" t="s">
        <v>28</v>
      </c>
      <c r="J37" s="114"/>
      <c r="K37" s="114"/>
      <c r="L37" s="115"/>
      <c r="M37" s="111">
        <f>SUM(M9:M36)</f>
        <v>1147</v>
      </c>
      <c r="P37" s="119" t="s">
        <v>29</v>
      </c>
      <c r="Q37" s="120"/>
      <c r="R37" s="120"/>
      <c r="S37" s="120"/>
      <c r="T37" s="225">
        <f>SUM(T9:T36)+SUM(Z9:Z36)+SUM(AF9:AF36)</f>
        <v>4145</v>
      </c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7"/>
    </row>
    <row r="38" spans="2:32" ht="15.75" customHeight="1" x14ac:dyDescent="0.2">
      <c r="B38" s="108"/>
      <c r="C38" s="109"/>
      <c r="D38" s="109"/>
      <c r="E38" s="110"/>
      <c r="F38" s="112"/>
      <c r="I38" s="116"/>
      <c r="J38" s="117"/>
      <c r="K38" s="117"/>
      <c r="L38" s="118"/>
      <c r="M38" s="112"/>
      <c r="P38" s="122"/>
      <c r="Q38" s="123"/>
      <c r="R38" s="123"/>
      <c r="S38" s="123"/>
      <c r="T38" s="228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30"/>
    </row>
    <row r="40" spans="2:32" ht="17" thickBot="1" x14ac:dyDescent="0.25"/>
    <row r="41" spans="2:32" x14ac:dyDescent="0.2">
      <c r="B41" s="52" t="s">
        <v>30</v>
      </c>
      <c r="C41" s="53"/>
      <c r="D41" s="53"/>
      <c r="E41" s="53"/>
      <c r="F41" s="54"/>
      <c r="G41" s="61">
        <f>F37+M37+T37</f>
        <v>7240</v>
      </c>
      <c r="H41" s="62"/>
      <c r="I41" s="63"/>
    </row>
    <row r="42" spans="2:32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32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33769</v>
      </c>
      <c r="P43" s="80"/>
      <c r="Q43" s="81"/>
    </row>
    <row r="44" spans="2:32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32" x14ac:dyDescent="0.2">
      <c r="K45" s="73"/>
      <c r="L45" s="74"/>
      <c r="M45" s="74"/>
      <c r="N45" s="75"/>
      <c r="O45" s="82"/>
      <c r="P45" s="83"/>
      <c r="Q45" s="84"/>
    </row>
    <row r="46" spans="2:32" x14ac:dyDescent="0.2">
      <c r="K46" s="73"/>
      <c r="L46" s="74"/>
      <c r="M46" s="74"/>
      <c r="N46" s="75"/>
      <c r="O46" s="82"/>
      <c r="P46" s="83"/>
      <c r="Q46" s="84"/>
    </row>
    <row r="47" spans="2:32" ht="17" thickBot="1" x14ac:dyDescent="0.25">
      <c r="K47" s="73"/>
      <c r="L47" s="74"/>
      <c r="M47" s="74"/>
      <c r="N47" s="75"/>
      <c r="O47" s="82"/>
      <c r="P47" s="83"/>
      <c r="Q47" s="84"/>
    </row>
    <row r="48" spans="2:32" x14ac:dyDescent="0.2">
      <c r="B48" s="88" t="s">
        <v>32</v>
      </c>
      <c r="C48" s="89"/>
      <c r="D48" s="89"/>
      <c r="E48" s="89"/>
      <c r="F48" s="90"/>
      <c r="G48" s="236">
        <v>41009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99"/>
      <c r="H50" s="100"/>
      <c r="I50" s="101"/>
    </row>
    <row r="51" spans="2:17" ht="17" thickBot="1" x14ac:dyDescent="0.25">
      <c r="B51" s="94"/>
      <c r="C51" s="95"/>
      <c r="D51" s="95"/>
      <c r="E51" s="95"/>
      <c r="F51" s="96"/>
      <c r="G51" s="102"/>
      <c r="H51" s="103"/>
      <c r="I51" s="104"/>
    </row>
  </sheetData>
  <mergeCells count="163"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6:AF7"/>
    <mergeCell ref="AB8:AC8"/>
    <mergeCell ref="AB9:AC9"/>
    <mergeCell ref="AB10:AC10"/>
    <mergeCell ref="AB11:AC11"/>
    <mergeCell ref="AB12:AC12"/>
    <mergeCell ref="B9:D9"/>
    <mergeCell ref="I9:K9"/>
    <mergeCell ref="P9:Q9"/>
    <mergeCell ref="B10:D10"/>
    <mergeCell ref="I10:K10"/>
    <mergeCell ref="P10:Q10"/>
    <mergeCell ref="B2:T3"/>
    <mergeCell ref="B6:F7"/>
    <mergeCell ref="I6:M7"/>
    <mergeCell ref="P6:T7"/>
    <mergeCell ref="B8:D8"/>
    <mergeCell ref="I8:K8"/>
    <mergeCell ref="P8:Q8"/>
    <mergeCell ref="B13:D13"/>
    <mergeCell ref="I13:K13"/>
    <mergeCell ref="P13:Q13"/>
    <mergeCell ref="B11:D11"/>
    <mergeCell ref="I11:K11"/>
    <mergeCell ref="P11:Q11"/>
    <mergeCell ref="B14:D14"/>
    <mergeCell ref="I14:K14"/>
    <mergeCell ref="P14:Q14"/>
    <mergeCell ref="B12:D12"/>
    <mergeCell ref="I12:K12"/>
    <mergeCell ref="P12:Q12"/>
    <mergeCell ref="B17:D17"/>
    <mergeCell ref="I17:K17"/>
    <mergeCell ref="P17:Q17"/>
    <mergeCell ref="B18:D18"/>
    <mergeCell ref="I18:K18"/>
    <mergeCell ref="P18:Q18"/>
    <mergeCell ref="B15:D15"/>
    <mergeCell ref="I15:K15"/>
    <mergeCell ref="P15:Q15"/>
    <mergeCell ref="B16:D16"/>
    <mergeCell ref="I16:K16"/>
    <mergeCell ref="P16:Q16"/>
    <mergeCell ref="B21:D21"/>
    <mergeCell ref="I21:K21"/>
    <mergeCell ref="P21:Q21"/>
    <mergeCell ref="B22:D22"/>
    <mergeCell ref="I22:K22"/>
    <mergeCell ref="P22:Q22"/>
    <mergeCell ref="B19:D19"/>
    <mergeCell ref="I19:K19"/>
    <mergeCell ref="P19:Q19"/>
    <mergeCell ref="B20:D20"/>
    <mergeCell ref="I20:K20"/>
    <mergeCell ref="P20:Q20"/>
    <mergeCell ref="B25:D25"/>
    <mergeCell ref="I25:K25"/>
    <mergeCell ref="P25:Q25"/>
    <mergeCell ref="B26:D26"/>
    <mergeCell ref="I26:K26"/>
    <mergeCell ref="P26:Q26"/>
    <mergeCell ref="B23:D23"/>
    <mergeCell ref="I23:K23"/>
    <mergeCell ref="P23:Q23"/>
    <mergeCell ref="B24:D24"/>
    <mergeCell ref="I24:K24"/>
    <mergeCell ref="P24:Q24"/>
    <mergeCell ref="B33:D33"/>
    <mergeCell ref="I33:K33"/>
    <mergeCell ref="P33:Q33"/>
    <mergeCell ref="B34:D34"/>
    <mergeCell ref="I34:K34"/>
    <mergeCell ref="B27:D27"/>
    <mergeCell ref="I27:K27"/>
    <mergeCell ref="P27:Q27"/>
    <mergeCell ref="B28:D28"/>
    <mergeCell ref="I28:K28"/>
    <mergeCell ref="P28:Q28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  <mergeCell ref="B35:D35"/>
    <mergeCell ref="I35:K35"/>
    <mergeCell ref="P35:Q35"/>
    <mergeCell ref="B36:D36"/>
    <mergeCell ref="I36:K36"/>
    <mergeCell ref="P36:Q36"/>
    <mergeCell ref="V6:Z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T37:AF38"/>
    <mergeCell ref="V34:W34"/>
    <mergeCell ref="V35:W35"/>
    <mergeCell ref="V36:W36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AB31:AC31"/>
    <mergeCell ref="AB32:AC32"/>
    <mergeCell ref="AB33:AC33"/>
    <mergeCell ref="AB34:AC34"/>
    <mergeCell ref="AB35:AC35"/>
    <mergeCell ref="AB36:AC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FF8-1DE1-7F43-94AF-7A394DE3FE78}">
  <dimension ref="B1:Z59"/>
  <sheetViews>
    <sheetView zoomScale="50" zoomScaleNormal="56" workbookViewId="0">
      <selection activeCell="K59" sqref="K59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21.33203125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  <col min="22" max="22" width="18.83203125" customWidth="1"/>
    <col min="23" max="23" width="25.5" customWidth="1"/>
    <col min="24" max="24" width="49.6640625" customWidth="1"/>
    <col min="25" max="25" width="22" customWidth="1"/>
    <col min="26" max="26" width="27.83203125" customWidth="1"/>
  </cols>
  <sheetData>
    <row r="1" spans="2:26" ht="17" thickBot="1" x14ac:dyDescent="0.25"/>
    <row r="2" spans="2:26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6" ht="79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6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6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6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  <c r="V6" s="153" t="s">
        <v>3</v>
      </c>
      <c r="W6" s="154"/>
      <c r="X6" s="154"/>
      <c r="Y6" s="154"/>
      <c r="Z6" s="155"/>
    </row>
    <row r="7" spans="2:26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  <c r="V7" s="156"/>
      <c r="W7" s="157"/>
      <c r="X7" s="157"/>
      <c r="Y7" s="157"/>
      <c r="Z7" s="158"/>
    </row>
    <row r="8" spans="2:26" ht="38" thickBot="1" x14ac:dyDescent="0.25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  <c r="V8" s="165" t="s">
        <v>7</v>
      </c>
      <c r="W8" s="166"/>
      <c r="X8" s="9" t="s">
        <v>8</v>
      </c>
      <c r="Y8" s="9" t="s">
        <v>5</v>
      </c>
      <c r="Z8" s="9" t="s">
        <v>6</v>
      </c>
    </row>
    <row r="9" spans="2:26" ht="31" x14ac:dyDescent="0.2">
      <c r="B9" s="244" t="s">
        <v>68</v>
      </c>
      <c r="C9" s="245"/>
      <c r="D9" s="246"/>
      <c r="E9" s="49">
        <v>45871</v>
      </c>
      <c r="F9" s="50">
        <v>36</v>
      </c>
      <c r="I9" s="244" t="s">
        <v>120</v>
      </c>
      <c r="J9" s="245"/>
      <c r="K9" s="246"/>
      <c r="L9" s="49">
        <v>45870</v>
      </c>
      <c r="M9" s="50">
        <v>441</v>
      </c>
      <c r="P9" s="252" t="s">
        <v>55</v>
      </c>
      <c r="Q9" s="248"/>
      <c r="R9" s="43">
        <v>6</v>
      </c>
      <c r="S9" s="44">
        <v>45870</v>
      </c>
      <c r="T9" s="45">
        <v>60</v>
      </c>
      <c r="V9" s="237" t="s">
        <v>78</v>
      </c>
      <c r="W9" s="238"/>
      <c r="X9" s="2">
        <v>10</v>
      </c>
      <c r="Y9" s="3">
        <v>45886</v>
      </c>
      <c r="Z9" s="4">
        <v>100</v>
      </c>
    </row>
    <row r="10" spans="2:26" ht="31" x14ac:dyDescent="0.2">
      <c r="B10" s="244" t="s">
        <v>121</v>
      </c>
      <c r="C10" s="245"/>
      <c r="D10" s="246"/>
      <c r="E10" s="49">
        <v>45871</v>
      </c>
      <c r="F10" s="50">
        <v>16</v>
      </c>
      <c r="I10" s="244" t="s">
        <v>122</v>
      </c>
      <c r="J10" s="245"/>
      <c r="K10" s="246"/>
      <c r="L10" s="49">
        <v>45871</v>
      </c>
      <c r="M10" s="50">
        <v>20</v>
      </c>
      <c r="P10" s="252" t="s">
        <v>13</v>
      </c>
      <c r="Q10" s="248"/>
      <c r="R10" s="43">
        <v>9</v>
      </c>
      <c r="S10" s="44">
        <v>45871</v>
      </c>
      <c r="T10" s="45">
        <v>90</v>
      </c>
      <c r="V10" s="237" t="s">
        <v>81</v>
      </c>
      <c r="W10" s="238"/>
      <c r="X10" s="2">
        <v>10</v>
      </c>
      <c r="Y10" s="3">
        <v>45886</v>
      </c>
      <c r="Z10" s="4">
        <v>100</v>
      </c>
    </row>
    <row r="11" spans="2:26" ht="31" x14ac:dyDescent="0.2">
      <c r="B11" s="244" t="s">
        <v>121</v>
      </c>
      <c r="C11" s="245"/>
      <c r="D11" s="246"/>
      <c r="E11" s="49">
        <v>45872</v>
      </c>
      <c r="F11" s="50">
        <v>16</v>
      </c>
      <c r="I11" s="244" t="s">
        <v>123</v>
      </c>
      <c r="J11" s="245"/>
      <c r="K11" s="246"/>
      <c r="L11" s="49">
        <v>45877</v>
      </c>
      <c r="M11" s="50">
        <v>316</v>
      </c>
      <c r="P11" s="252" t="s">
        <v>13</v>
      </c>
      <c r="Q11" s="248"/>
      <c r="R11" s="43">
        <v>10</v>
      </c>
      <c r="S11" s="44">
        <v>45872</v>
      </c>
      <c r="T11" s="45">
        <v>100</v>
      </c>
      <c r="V11" s="237" t="s">
        <v>124</v>
      </c>
      <c r="W11" s="238"/>
      <c r="X11" s="2">
        <v>6</v>
      </c>
      <c r="Y11" s="3">
        <v>45886</v>
      </c>
      <c r="Z11" s="4">
        <v>60</v>
      </c>
    </row>
    <row r="12" spans="2:26" ht="31" x14ac:dyDescent="0.2">
      <c r="B12" s="244" t="s">
        <v>125</v>
      </c>
      <c r="C12" s="245"/>
      <c r="D12" s="246"/>
      <c r="E12" s="49">
        <v>45877</v>
      </c>
      <c r="F12" s="51">
        <v>137</v>
      </c>
      <c r="I12" s="244" t="s">
        <v>126</v>
      </c>
      <c r="J12" s="245"/>
      <c r="K12" s="246"/>
      <c r="L12" s="49">
        <v>45882</v>
      </c>
      <c r="M12" s="51">
        <v>376</v>
      </c>
      <c r="P12" s="252" t="s">
        <v>81</v>
      </c>
      <c r="Q12" s="248"/>
      <c r="R12" s="43">
        <v>6</v>
      </c>
      <c r="S12" s="44">
        <v>45872</v>
      </c>
      <c r="T12" s="45">
        <v>60</v>
      </c>
      <c r="V12" s="237" t="s">
        <v>81</v>
      </c>
      <c r="W12" s="238"/>
      <c r="X12" s="2">
        <v>6</v>
      </c>
      <c r="Y12" s="3">
        <v>45887</v>
      </c>
      <c r="Z12" s="4">
        <v>60</v>
      </c>
    </row>
    <row r="13" spans="2:26" ht="31" x14ac:dyDescent="0.2">
      <c r="B13" s="244" t="s">
        <v>127</v>
      </c>
      <c r="C13" s="245"/>
      <c r="D13" s="246"/>
      <c r="E13" s="49">
        <v>45877</v>
      </c>
      <c r="F13" s="50">
        <v>76</v>
      </c>
      <c r="I13" s="244" t="s">
        <v>128</v>
      </c>
      <c r="J13" s="245"/>
      <c r="K13" s="246"/>
      <c r="L13" s="49">
        <v>45885</v>
      </c>
      <c r="M13" s="51">
        <v>151</v>
      </c>
      <c r="P13" s="252" t="s">
        <v>81</v>
      </c>
      <c r="Q13" s="248"/>
      <c r="R13" s="43">
        <v>6</v>
      </c>
      <c r="S13" s="44">
        <v>45873</v>
      </c>
      <c r="T13" s="45">
        <v>60</v>
      </c>
      <c r="V13" s="237" t="s">
        <v>86</v>
      </c>
      <c r="W13" s="238"/>
      <c r="X13" s="2">
        <v>6</v>
      </c>
      <c r="Y13" s="3">
        <v>45888</v>
      </c>
      <c r="Z13" s="4">
        <v>60</v>
      </c>
    </row>
    <row r="14" spans="2:26" ht="31" x14ac:dyDescent="0.2">
      <c r="B14" s="244" t="s">
        <v>121</v>
      </c>
      <c r="C14" s="245"/>
      <c r="D14" s="246"/>
      <c r="E14" s="49">
        <v>45879</v>
      </c>
      <c r="F14" s="51">
        <v>29</v>
      </c>
      <c r="I14" s="244" t="s">
        <v>129</v>
      </c>
      <c r="J14" s="245"/>
      <c r="K14" s="246"/>
      <c r="L14" s="49">
        <v>45887</v>
      </c>
      <c r="M14" s="50">
        <v>360</v>
      </c>
      <c r="P14" s="247" t="s">
        <v>81</v>
      </c>
      <c r="Q14" s="248"/>
      <c r="R14" s="43">
        <v>6</v>
      </c>
      <c r="S14" s="44">
        <v>45874</v>
      </c>
      <c r="T14" s="45">
        <v>60</v>
      </c>
      <c r="V14" s="237" t="s">
        <v>86</v>
      </c>
      <c r="W14" s="238"/>
      <c r="X14" s="2">
        <v>6</v>
      </c>
      <c r="Y14" s="3">
        <v>45891</v>
      </c>
      <c r="Z14" s="4">
        <v>60</v>
      </c>
    </row>
    <row r="15" spans="2:26" ht="31" x14ac:dyDescent="0.2">
      <c r="B15" s="244" t="s">
        <v>121</v>
      </c>
      <c r="C15" s="245"/>
      <c r="D15" s="246"/>
      <c r="E15" s="49">
        <v>45880</v>
      </c>
      <c r="F15" s="50">
        <v>29</v>
      </c>
      <c r="I15" s="253" t="s">
        <v>130</v>
      </c>
      <c r="J15" s="245"/>
      <c r="K15" s="246"/>
      <c r="L15" s="49">
        <v>45895</v>
      </c>
      <c r="M15" s="50">
        <v>138</v>
      </c>
      <c r="P15" s="252" t="s">
        <v>55</v>
      </c>
      <c r="Q15" s="248"/>
      <c r="R15" s="43">
        <v>6</v>
      </c>
      <c r="S15" s="44">
        <v>45875</v>
      </c>
      <c r="T15" s="45">
        <v>60</v>
      </c>
      <c r="V15" s="237" t="s">
        <v>86</v>
      </c>
      <c r="W15" s="238"/>
      <c r="X15" s="2">
        <v>4</v>
      </c>
      <c r="Y15" s="3">
        <v>45892</v>
      </c>
      <c r="Z15" s="4">
        <v>40</v>
      </c>
    </row>
    <row r="16" spans="2:26" ht="31" x14ac:dyDescent="0.2">
      <c r="B16" s="244" t="s">
        <v>9</v>
      </c>
      <c r="C16" s="245"/>
      <c r="D16" s="246"/>
      <c r="E16" s="49">
        <v>45882</v>
      </c>
      <c r="F16" s="51">
        <v>109</v>
      </c>
      <c r="I16" s="244"/>
      <c r="J16" s="245"/>
      <c r="K16" s="246"/>
      <c r="L16" s="49"/>
      <c r="M16" s="50"/>
      <c r="P16" s="252" t="s">
        <v>86</v>
      </c>
      <c r="Q16" s="248"/>
      <c r="R16" s="43">
        <v>6</v>
      </c>
      <c r="S16" s="44">
        <v>45876</v>
      </c>
      <c r="T16" s="45">
        <v>60</v>
      </c>
      <c r="V16" s="241" t="s">
        <v>16</v>
      </c>
      <c r="W16" s="238"/>
      <c r="X16" s="2">
        <v>6</v>
      </c>
      <c r="Y16" s="3">
        <v>45892</v>
      </c>
      <c r="Z16" s="4">
        <v>60</v>
      </c>
    </row>
    <row r="17" spans="2:26" ht="31" x14ac:dyDescent="0.2">
      <c r="B17" s="244" t="s">
        <v>131</v>
      </c>
      <c r="C17" s="245"/>
      <c r="D17" s="246"/>
      <c r="E17" s="49">
        <v>45885</v>
      </c>
      <c r="F17" s="50">
        <v>25</v>
      </c>
      <c r="I17" s="244"/>
      <c r="J17" s="245"/>
      <c r="K17" s="246"/>
      <c r="L17" s="49"/>
      <c r="M17" s="50"/>
      <c r="P17" s="252" t="s">
        <v>86</v>
      </c>
      <c r="Q17" s="248"/>
      <c r="R17" s="43">
        <v>7</v>
      </c>
      <c r="S17" s="44">
        <v>45877</v>
      </c>
      <c r="T17" s="45">
        <v>70</v>
      </c>
      <c r="V17" s="237" t="s">
        <v>78</v>
      </c>
      <c r="W17" s="238"/>
      <c r="X17" s="2">
        <v>10</v>
      </c>
      <c r="Y17" s="3">
        <v>45892</v>
      </c>
      <c r="Z17" s="4">
        <v>100</v>
      </c>
    </row>
    <row r="18" spans="2:26" ht="31" x14ac:dyDescent="0.2">
      <c r="B18" s="244" t="s">
        <v>121</v>
      </c>
      <c r="C18" s="245"/>
      <c r="D18" s="246"/>
      <c r="E18" s="49">
        <v>45886</v>
      </c>
      <c r="F18" s="50">
        <v>30</v>
      </c>
      <c r="I18" s="244"/>
      <c r="J18" s="245"/>
      <c r="K18" s="246"/>
      <c r="L18" s="49"/>
      <c r="M18" s="50"/>
      <c r="P18" s="252" t="s">
        <v>13</v>
      </c>
      <c r="Q18" s="248"/>
      <c r="R18" s="43" t="s">
        <v>132</v>
      </c>
      <c r="S18" s="44">
        <v>45878</v>
      </c>
      <c r="T18" s="45">
        <v>105</v>
      </c>
      <c r="V18" s="237" t="s">
        <v>86</v>
      </c>
      <c r="W18" s="238"/>
      <c r="X18" s="2">
        <v>9</v>
      </c>
      <c r="Y18" s="3">
        <v>45893</v>
      </c>
      <c r="Z18" s="4">
        <v>90</v>
      </c>
    </row>
    <row r="19" spans="2:26" ht="31" x14ac:dyDescent="0.2">
      <c r="B19" s="244" t="s">
        <v>133</v>
      </c>
      <c r="C19" s="245"/>
      <c r="D19" s="246"/>
      <c r="E19" s="49">
        <v>45892</v>
      </c>
      <c r="F19" s="51">
        <v>10</v>
      </c>
      <c r="I19" s="244"/>
      <c r="J19" s="245"/>
      <c r="K19" s="246"/>
      <c r="L19" s="49"/>
      <c r="M19" s="50"/>
      <c r="P19" s="252" t="s">
        <v>86</v>
      </c>
      <c r="Q19" s="248"/>
      <c r="R19" s="43">
        <v>10</v>
      </c>
      <c r="S19" s="44">
        <v>45878</v>
      </c>
      <c r="T19" s="45">
        <v>100</v>
      </c>
      <c r="V19" s="237" t="s">
        <v>16</v>
      </c>
      <c r="W19" s="238"/>
      <c r="X19" s="2">
        <v>5</v>
      </c>
      <c r="Y19" s="3">
        <v>45893</v>
      </c>
      <c r="Z19" s="4">
        <v>50</v>
      </c>
    </row>
    <row r="20" spans="2:26" ht="31" x14ac:dyDescent="0.2">
      <c r="B20" s="253" t="s">
        <v>121</v>
      </c>
      <c r="C20" s="245"/>
      <c r="D20" s="246"/>
      <c r="E20" s="49">
        <v>45893</v>
      </c>
      <c r="F20" s="51">
        <v>21</v>
      </c>
      <c r="I20" s="244"/>
      <c r="J20" s="245"/>
      <c r="K20" s="246"/>
      <c r="L20" s="49"/>
      <c r="M20" s="50"/>
      <c r="P20" s="252" t="s">
        <v>81</v>
      </c>
      <c r="Q20" s="248"/>
      <c r="R20" s="43">
        <v>6</v>
      </c>
      <c r="S20" s="44">
        <v>45878</v>
      </c>
      <c r="T20" s="45">
        <v>60</v>
      </c>
      <c r="V20" s="237" t="s">
        <v>81</v>
      </c>
      <c r="W20" s="238"/>
      <c r="X20" s="2">
        <v>5</v>
      </c>
      <c r="Y20" s="3">
        <v>45893</v>
      </c>
      <c r="Z20" s="4">
        <v>50</v>
      </c>
    </row>
    <row r="21" spans="2:26" ht="31" x14ac:dyDescent="0.2">
      <c r="B21" s="244" t="s">
        <v>134</v>
      </c>
      <c r="C21" s="245"/>
      <c r="D21" s="246"/>
      <c r="E21" s="49">
        <v>45895</v>
      </c>
      <c r="F21" s="50">
        <v>114</v>
      </c>
      <c r="I21" s="244"/>
      <c r="J21" s="245"/>
      <c r="K21" s="246"/>
      <c r="L21" s="49"/>
      <c r="M21" s="50"/>
      <c r="P21" s="252" t="s">
        <v>124</v>
      </c>
      <c r="Q21" s="248"/>
      <c r="R21" s="43">
        <v>6</v>
      </c>
      <c r="S21" s="44">
        <v>45878</v>
      </c>
      <c r="T21" s="45">
        <v>60</v>
      </c>
      <c r="V21" s="237" t="s">
        <v>81</v>
      </c>
      <c r="W21" s="238"/>
      <c r="X21" s="2">
        <v>6</v>
      </c>
      <c r="Y21" s="3">
        <v>45894</v>
      </c>
      <c r="Z21" s="4">
        <v>60</v>
      </c>
    </row>
    <row r="22" spans="2:26" ht="31" x14ac:dyDescent="0.2">
      <c r="B22" s="244" t="s">
        <v>135</v>
      </c>
      <c r="C22" s="245"/>
      <c r="D22" s="246"/>
      <c r="E22" s="49">
        <v>45895</v>
      </c>
      <c r="F22" s="50">
        <v>9</v>
      </c>
      <c r="I22" s="244"/>
      <c r="J22" s="245"/>
      <c r="K22" s="246"/>
      <c r="L22" s="49"/>
      <c r="M22" s="50"/>
      <c r="P22" s="252" t="s">
        <v>13</v>
      </c>
      <c r="Q22" s="248"/>
      <c r="R22" s="43">
        <v>11</v>
      </c>
      <c r="S22" s="44">
        <v>45879</v>
      </c>
      <c r="T22" s="45">
        <v>110</v>
      </c>
      <c r="V22" s="237" t="s">
        <v>86</v>
      </c>
      <c r="W22" s="238"/>
      <c r="X22" s="2">
        <v>6</v>
      </c>
      <c r="Y22" s="3">
        <v>45895</v>
      </c>
      <c r="Z22" s="4">
        <v>60</v>
      </c>
    </row>
    <row r="23" spans="2:26" ht="31" x14ac:dyDescent="0.2">
      <c r="B23" s="244" t="s">
        <v>136</v>
      </c>
      <c r="C23" s="245"/>
      <c r="D23" s="246"/>
      <c r="E23" s="49">
        <v>45898</v>
      </c>
      <c r="F23" s="50">
        <v>88</v>
      </c>
      <c r="I23" s="244"/>
      <c r="J23" s="245"/>
      <c r="K23" s="246"/>
      <c r="L23" s="49"/>
      <c r="M23" s="50"/>
      <c r="P23" s="252" t="s">
        <v>81</v>
      </c>
      <c r="Q23" s="248"/>
      <c r="R23" s="43">
        <v>11</v>
      </c>
      <c r="S23" s="44">
        <v>45879</v>
      </c>
      <c r="T23" s="45">
        <v>110</v>
      </c>
      <c r="V23" s="237" t="s">
        <v>86</v>
      </c>
      <c r="W23" s="238"/>
      <c r="X23" s="2">
        <v>6</v>
      </c>
      <c r="Y23" s="3">
        <v>45896</v>
      </c>
      <c r="Z23" s="4">
        <v>60</v>
      </c>
    </row>
    <row r="24" spans="2:26" ht="31" x14ac:dyDescent="0.2">
      <c r="B24" s="244" t="s">
        <v>137</v>
      </c>
      <c r="C24" s="245"/>
      <c r="D24" s="246"/>
      <c r="E24" s="49">
        <v>45899</v>
      </c>
      <c r="F24" s="50">
        <v>18</v>
      </c>
      <c r="I24" s="244"/>
      <c r="J24" s="245"/>
      <c r="K24" s="246"/>
      <c r="L24" s="49"/>
      <c r="M24" s="50"/>
      <c r="P24" s="252" t="s">
        <v>86</v>
      </c>
      <c r="Q24" s="248"/>
      <c r="R24" s="43">
        <v>7</v>
      </c>
      <c r="S24" s="44">
        <v>45879</v>
      </c>
      <c r="T24" s="45">
        <v>70</v>
      </c>
      <c r="V24" s="241" t="s">
        <v>86</v>
      </c>
      <c r="W24" s="238"/>
      <c r="X24" s="2">
        <v>9</v>
      </c>
      <c r="Y24" s="3">
        <v>45899</v>
      </c>
      <c r="Z24" s="4">
        <v>90</v>
      </c>
    </row>
    <row r="25" spans="2:26" ht="31" x14ac:dyDescent="0.2">
      <c r="B25" s="244"/>
      <c r="C25" s="245"/>
      <c r="D25" s="246"/>
      <c r="E25" s="49"/>
      <c r="F25" s="50"/>
      <c r="I25" s="244"/>
      <c r="J25" s="245"/>
      <c r="K25" s="246"/>
      <c r="L25" s="49"/>
      <c r="M25" s="50"/>
      <c r="P25" s="252" t="s">
        <v>124</v>
      </c>
      <c r="Q25" s="248"/>
      <c r="R25" s="43">
        <v>7</v>
      </c>
      <c r="S25" s="44">
        <v>45879</v>
      </c>
      <c r="T25" s="45">
        <v>70</v>
      </c>
      <c r="V25" s="237"/>
      <c r="W25" s="238"/>
      <c r="X25" s="2"/>
      <c r="Y25" s="29"/>
      <c r="Z25" s="4"/>
    </row>
    <row r="26" spans="2:26" ht="31" x14ac:dyDescent="0.2">
      <c r="B26" s="244"/>
      <c r="C26" s="245"/>
      <c r="D26" s="246"/>
      <c r="E26" s="49"/>
      <c r="F26" s="50"/>
      <c r="I26" s="244"/>
      <c r="J26" s="245"/>
      <c r="K26" s="246"/>
      <c r="L26" s="49"/>
      <c r="M26" s="50"/>
      <c r="P26" s="252" t="s">
        <v>86</v>
      </c>
      <c r="Q26" s="248"/>
      <c r="R26" s="43">
        <v>6</v>
      </c>
      <c r="S26" s="44">
        <v>45880</v>
      </c>
      <c r="T26" s="45">
        <v>60</v>
      </c>
      <c r="V26" s="237"/>
      <c r="W26" s="238"/>
      <c r="X26" s="28"/>
      <c r="Y26" s="3"/>
      <c r="Z26" s="4"/>
    </row>
    <row r="27" spans="2:26" ht="31" x14ac:dyDescent="0.2">
      <c r="B27" s="244"/>
      <c r="C27" s="245"/>
      <c r="D27" s="246"/>
      <c r="E27" s="49"/>
      <c r="F27" s="50"/>
      <c r="I27" s="244"/>
      <c r="J27" s="245"/>
      <c r="K27" s="246"/>
      <c r="L27" s="49"/>
      <c r="M27" s="50"/>
      <c r="P27" s="252" t="s">
        <v>13</v>
      </c>
      <c r="Q27" s="248"/>
      <c r="R27" s="43" t="s">
        <v>138</v>
      </c>
      <c r="S27" s="44">
        <v>45880</v>
      </c>
      <c r="T27" s="46">
        <v>300</v>
      </c>
      <c r="V27" s="237"/>
      <c r="W27" s="238"/>
      <c r="X27" s="2"/>
      <c r="Y27" s="3"/>
      <c r="Z27" s="4"/>
    </row>
    <row r="28" spans="2:26" ht="31" x14ac:dyDescent="0.2">
      <c r="B28" s="244"/>
      <c r="C28" s="245"/>
      <c r="D28" s="246"/>
      <c r="E28" s="49"/>
      <c r="F28" s="50"/>
      <c r="I28" s="244"/>
      <c r="J28" s="245"/>
      <c r="K28" s="246"/>
      <c r="L28" s="49"/>
      <c r="M28" s="50"/>
      <c r="P28" s="252" t="s">
        <v>86</v>
      </c>
      <c r="Q28" s="248"/>
      <c r="R28" s="43">
        <v>7</v>
      </c>
      <c r="S28" s="44">
        <v>45881</v>
      </c>
      <c r="T28" s="45">
        <v>70</v>
      </c>
      <c r="V28" s="237"/>
      <c r="W28" s="238"/>
      <c r="X28" s="2"/>
      <c r="Y28" s="3"/>
      <c r="Z28" s="4"/>
    </row>
    <row r="29" spans="2:26" ht="31" x14ac:dyDescent="0.2">
      <c r="B29" s="244"/>
      <c r="C29" s="245"/>
      <c r="D29" s="246"/>
      <c r="E29" s="49"/>
      <c r="F29" s="50"/>
      <c r="I29" s="244"/>
      <c r="J29" s="245"/>
      <c r="K29" s="246"/>
      <c r="L29" s="49"/>
      <c r="M29" s="50"/>
      <c r="P29" s="252" t="s">
        <v>81</v>
      </c>
      <c r="Q29" s="248"/>
      <c r="R29" s="43">
        <v>6</v>
      </c>
      <c r="S29" s="44">
        <v>45882</v>
      </c>
      <c r="T29" s="45">
        <v>60</v>
      </c>
      <c r="V29" s="237"/>
      <c r="W29" s="238"/>
      <c r="X29" s="2"/>
      <c r="Y29" s="3"/>
      <c r="Z29" s="18"/>
    </row>
    <row r="30" spans="2:26" ht="31" x14ac:dyDescent="0.2">
      <c r="B30" s="244"/>
      <c r="C30" s="245"/>
      <c r="D30" s="246"/>
      <c r="E30" s="49"/>
      <c r="F30" s="50"/>
      <c r="I30" s="244"/>
      <c r="J30" s="245"/>
      <c r="K30" s="246"/>
      <c r="L30" s="49"/>
      <c r="M30" s="50"/>
      <c r="P30" s="252" t="s">
        <v>86</v>
      </c>
      <c r="Q30" s="248"/>
      <c r="R30" s="43">
        <v>6</v>
      </c>
      <c r="S30" s="44">
        <v>45883</v>
      </c>
      <c r="T30" s="45">
        <v>60</v>
      </c>
      <c r="V30" s="237"/>
      <c r="W30" s="238"/>
      <c r="X30" s="2"/>
      <c r="Y30" s="3"/>
      <c r="Z30" s="4"/>
    </row>
    <row r="31" spans="2:26" ht="31" x14ac:dyDescent="0.2">
      <c r="B31" s="244"/>
      <c r="C31" s="245"/>
      <c r="D31" s="246"/>
      <c r="E31" s="49"/>
      <c r="F31" s="50"/>
      <c r="I31" s="244"/>
      <c r="J31" s="245"/>
      <c r="K31" s="246"/>
      <c r="L31" s="49"/>
      <c r="M31" s="50"/>
      <c r="P31" s="252" t="s">
        <v>86</v>
      </c>
      <c r="Q31" s="248"/>
      <c r="R31" s="43">
        <v>10</v>
      </c>
      <c r="S31" s="44">
        <v>45884</v>
      </c>
      <c r="T31" s="45">
        <v>100</v>
      </c>
      <c r="V31" s="237"/>
      <c r="W31" s="238"/>
      <c r="X31" s="2"/>
      <c r="Y31" s="3"/>
      <c r="Z31" s="4"/>
    </row>
    <row r="32" spans="2:26" ht="31" x14ac:dyDescent="0.2">
      <c r="B32" s="244"/>
      <c r="C32" s="245"/>
      <c r="D32" s="246"/>
      <c r="E32" s="49"/>
      <c r="F32" s="50"/>
      <c r="I32" s="244"/>
      <c r="J32" s="245"/>
      <c r="K32" s="246"/>
      <c r="L32" s="49"/>
      <c r="M32" s="50"/>
      <c r="P32" s="252" t="s">
        <v>81</v>
      </c>
      <c r="Q32" s="248"/>
      <c r="R32" s="43">
        <v>10</v>
      </c>
      <c r="S32" s="44">
        <v>45884</v>
      </c>
      <c r="T32" s="46">
        <v>100</v>
      </c>
      <c r="V32" s="237"/>
      <c r="W32" s="238"/>
      <c r="X32" s="2"/>
      <c r="Y32" s="3"/>
      <c r="Z32" s="4"/>
    </row>
    <row r="33" spans="2:26" ht="31" x14ac:dyDescent="0.2">
      <c r="B33" s="244"/>
      <c r="C33" s="245"/>
      <c r="D33" s="246"/>
      <c r="E33" s="49"/>
      <c r="F33" s="50"/>
      <c r="I33" s="244"/>
      <c r="J33" s="245"/>
      <c r="K33" s="246"/>
      <c r="L33" s="49"/>
      <c r="M33" s="50"/>
      <c r="P33" s="252" t="s">
        <v>124</v>
      </c>
      <c r="Q33" s="248"/>
      <c r="R33" s="43">
        <v>6</v>
      </c>
      <c r="S33" s="44">
        <v>45884</v>
      </c>
      <c r="T33" s="45">
        <v>60</v>
      </c>
      <c r="V33" s="237"/>
      <c r="W33" s="238"/>
      <c r="X33" s="2"/>
      <c r="Y33" s="3"/>
      <c r="Z33" s="4"/>
    </row>
    <row r="34" spans="2:26" ht="31" x14ac:dyDescent="0.2">
      <c r="B34" s="244"/>
      <c r="C34" s="245"/>
      <c r="D34" s="246"/>
      <c r="E34" s="49"/>
      <c r="F34" s="50"/>
      <c r="I34" s="244"/>
      <c r="J34" s="245"/>
      <c r="K34" s="246"/>
      <c r="L34" s="49"/>
      <c r="M34" s="50"/>
      <c r="P34" s="252" t="s">
        <v>86</v>
      </c>
      <c r="Q34" s="248"/>
      <c r="R34" s="43">
        <v>10</v>
      </c>
      <c r="S34" s="44">
        <v>45885</v>
      </c>
      <c r="T34" s="45">
        <v>100</v>
      </c>
      <c r="V34" s="237"/>
      <c r="W34" s="238"/>
      <c r="X34" s="2"/>
      <c r="Y34" s="3"/>
      <c r="Z34" s="4"/>
    </row>
    <row r="35" spans="2:26" ht="31" x14ac:dyDescent="0.2">
      <c r="B35" s="244"/>
      <c r="C35" s="245"/>
      <c r="D35" s="246"/>
      <c r="E35" s="49"/>
      <c r="F35" s="50"/>
      <c r="I35" s="244"/>
      <c r="J35" s="245"/>
      <c r="K35" s="246"/>
      <c r="L35" s="49"/>
      <c r="M35" s="50"/>
      <c r="P35" s="247" t="s">
        <v>78</v>
      </c>
      <c r="Q35" s="248"/>
      <c r="R35" s="43">
        <v>9</v>
      </c>
      <c r="S35" s="44">
        <v>45885</v>
      </c>
      <c r="T35" s="45">
        <v>90</v>
      </c>
      <c r="V35" s="237"/>
      <c r="W35" s="238"/>
      <c r="X35" s="2"/>
      <c r="Y35" s="3"/>
      <c r="Z35" s="4"/>
    </row>
    <row r="36" spans="2:26" ht="31" x14ac:dyDescent="0.2">
      <c r="B36" s="244"/>
      <c r="C36" s="245"/>
      <c r="D36" s="246"/>
      <c r="E36" s="49"/>
      <c r="F36" s="50"/>
      <c r="I36" s="249"/>
      <c r="J36" s="250"/>
      <c r="K36" s="251"/>
      <c r="L36" s="5"/>
      <c r="M36" s="6"/>
      <c r="P36" s="252" t="s">
        <v>124</v>
      </c>
      <c r="Q36" s="248"/>
      <c r="R36" s="43">
        <v>6</v>
      </c>
      <c r="S36" s="47">
        <v>45885</v>
      </c>
      <c r="T36" s="48">
        <v>60</v>
      </c>
      <c r="V36" s="239"/>
      <c r="W36" s="240"/>
      <c r="X36" s="21"/>
      <c r="Y36" s="22"/>
      <c r="Z36" s="20"/>
    </row>
    <row r="37" spans="2:26" ht="16" customHeight="1" x14ac:dyDescent="0.2">
      <c r="B37" s="105" t="s">
        <v>27</v>
      </c>
      <c r="C37" s="106"/>
      <c r="D37" s="106"/>
      <c r="E37" s="107"/>
      <c r="F37" s="242">
        <f>SUM(F9:F36)</f>
        <v>763</v>
      </c>
      <c r="I37" s="113" t="s">
        <v>28</v>
      </c>
      <c r="J37" s="114"/>
      <c r="K37" s="114"/>
      <c r="L37" s="115"/>
      <c r="M37" s="242">
        <f>SUM(M9:M36)</f>
        <v>1802</v>
      </c>
      <c r="P37" s="119" t="s">
        <v>29</v>
      </c>
      <c r="Q37" s="120"/>
      <c r="R37" s="120"/>
      <c r="S37" s="120"/>
      <c r="T37" s="254">
        <f>SUM(T9:T36)+SUM(Z9:Z36)</f>
        <v>3465</v>
      </c>
      <c r="U37" s="255"/>
      <c r="V37" s="255"/>
      <c r="W37" s="255"/>
      <c r="X37" s="255"/>
      <c r="Y37" s="255"/>
      <c r="Z37" s="256"/>
    </row>
    <row r="38" spans="2:26" ht="31" customHeight="1" x14ac:dyDescent="0.2">
      <c r="B38" s="108"/>
      <c r="C38" s="109"/>
      <c r="D38" s="109"/>
      <c r="E38" s="110"/>
      <c r="F38" s="243"/>
      <c r="I38" s="116"/>
      <c r="J38" s="117"/>
      <c r="K38" s="117"/>
      <c r="L38" s="118"/>
      <c r="M38" s="243"/>
      <c r="P38" s="122"/>
      <c r="Q38" s="123"/>
      <c r="R38" s="123"/>
      <c r="S38" s="123"/>
      <c r="T38" s="257"/>
      <c r="U38" s="258"/>
      <c r="V38" s="258"/>
      <c r="W38" s="258"/>
      <c r="X38" s="258"/>
      <c r="Y38" s="258"/>
      <c r="Z38" s="259"/>
    </row>
    <row r="40" spans="2:26" ht="17" thickBot="1" x14ac:dyDescent="0.25"/>
    <row r="41" spans="2:26" x14ac:dyDescent="0.2">
      <c r="B41" s="52" t="s">
        <v>30</v>
      </c>
      <c r="C41" s="53"/>
      <c r="D41" s="53"/>
      <c r="E41" s="53"/>
      <c r="F41" s="54"/>
      <c r="G41" s="61">
        <f>F37+M37+T37</f>
        <v>6030</v>
      </c>
      <c r="H41" s="62"/>
      <c r="I41" s="63"/>
    </row>
    <row r="42" spans="2:26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6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38669</v>
      </c>
      <c r="P43" s="80"/>
      <c r="Q43" s="81"/>
    </row>
    <row r="44" spans="2:26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26" x14ac:dyDescent="0.2">
      <c r="K45" s="73"/>
      <c r="L45" s="74"/>
      <c r="M45" s="74"/>
      <c r="N45" s="75"/>
      <c r="O45" s="82"/>
      <c r="P45" s="83"/>
      <c r="Q45" s="84"/>
    </row>
    <row r="46" spans="2:26" x14ac:dyDescent="0.2">
      <c r="K46" s="73"/>
      <c r="L46" s="74"/>
      <c r="M46" s="74"/>
      <c r="N46" s="75"/>
      <c r="O46" s="82"/>
      <c r="P46" s="83"/>
      <c r="Q46" s="84"/>
    </row>
    <row r="47" spans="2:26" ht="17" thickBot="1" x14ac:dyDescent="0.25">
      <c r="K47" s="73"/>
      <c r="L47" s="74"/>
      <c r="M47" s="74"/>
      <c r="N47" s="75"/>
      <c r="O47" s="82"/>
      <c r="P47" s="83"/>
      <c r="Q47" s="84"/>
    </row>
    <row r="48" spans="2:26" x14ac:dyDescent="0.2">
      <c r="B48" s="88" t="s">
        <v>32</v>
      </c>
      <c r="C48" s="89"/>
      <c r="D48" s="89"/>
      <c r="E48" s="89"/>
      <c r="F48" s="90"/>
      <c r="G48" s="236">
        <v>44699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25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25" x14ac:dyDescent="0.2">
      <c r="B50" s="91"/>
      <c r="C50" s="92"/>
      <c r="D50" s="92"/>
      <c r="E50" s="92"/>
      <c r="F50" s="93"/>
      <c r="G50" s="99"/>
      <c r="H50" s="100"/>
      <c r="I50" s="101"/>
    </row>
    <row r="51" spans="2:25" ht="17" thickBot="1" x14ac:dyDescent="0.25">
      <c r="B51" s="94"/>
      <c r="C51" s="95"/>
      <c r="D51" s="95"/>
      <c r="E51" s="95"/>
      <c r="F51" s="96"/>
      <c r="G51" s="102"/>
      <c r="H51" s="103"/>
      <c r="I51" s="104"/>
    </row>
    <row r="54" spans="2:25" x14ac:dyDescent="0.2">
      <c r="X54" s="42"/>
    </row>
    <row r="55" spans="2:25" x14ac:dyDescent="0.2">
      <c r="V55" s="42"/>
    </row>
    <row r="59" spans="2:25" x14ac:dyDescent="0.2">
      <c r="Y59" s="42"/>
    </row>
  </sheetData>
  <mergeCells count="133">
    <mergeCell ref="T37:Z38"/>
    <mergeCell ref="B2:T3"/>
    <mergeCell ref="B6:F7"/>
    <mergeCell ref="I6:M7"/>
    <mergeCell ref="P6:T7"/>
    <mergeCell ref="B8:D8"/>
    <mergeCell ref="I8:K8"/>
    <mergeCell ref="P8:Q8"/>
    <mergeCell ref="B11:D11"/>
    <mergeCell ref="I11:K11"/>
    <mergeCell ref="P11:Q11"/>
    <mergeCell ref="B12:D12"/>
    <mergeCell ref="I12:K12"/>
    <mergeCell ref="P12:Q12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  <mergeCell ref="V6:Z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34:W34"/>
    <mergeCell ref="V35:W35"/>
    <mergeCell ref="V36:W36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4CCD-F38C-0741-841B-26D99EBE4DD9}">
  <dimension ref="B1:T51"/>
  <sheetViews>
    <sheetView zoomScale="50" zoomScaleNormal="56" workbookViewId="0">
      <selection activeCell="L61" sqref="L61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16.6640625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</cols>
  <sheetData>
    <row r="1" spans="2:20" ht="17" thickBot="1" x14ac:dyDescent="0.25"/>
    <row r="2" spans="2:20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0" ht="73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</row>
    <row r="7" spans="2:20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</row>
    <row r="8" spans="2:20" ht="38" thickBot="1" x14ac:dyDescent="0.25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</row>
    <row r="9" spans="2:20" ht="29" x14ac:dyDescent="0.2">
      <c r="B9" s="249" t="s">
        <v>121</v>
      </c>
      <c r="C9" s="250"/>
      <c r="D9" s="251"/>
      <c r="E9" s="5">
        <v>45906</v>
      </c>
      <c r="F9" s="6">
        <v>17</v>
      </c>
      <c r="I9" s="249" t="s">
        <v>139</v>
      </c>
      <c r="J9" s="250"/>
      <c r="K9" s="251"/>
      <c r="L9" s="5">
        <v>45906</v>
      </c>
      <c r="M9" s="6">
        <v>44</v>
      </c>
      <c r="P9" s="237" t="s">
        <v>86</v>
      </c>
      <c r="Q9" s="238"/>
      <c r="R9" s="2">
        <v>9</v>
      </c>
      <c r="S9" s="5">
        <v>45906</v>
      </c>
      <c r="T9" s="4">
        <v>90</v>
      </c>
    </row>
    <row r="10" spans="2:20" ht="29" x14ac:dyDescent="0.2">
      <c r="B10" s="249" t="s">
        <v>140</v>
      </c>
      <c r="C10" s="250"/>
      <c r="D10" s="251"/>
      <c r="E10" s="5">
        <v>45907</v>
      </c>
      <c r="F10" s="6">
        <v>13</v>
      </c>
      <c r="I10" s="249" t="s">
        <v>141</v>
      </c>
      <c r="J10" s="250"/>
      <c r="K10" s="251"/>
      <c r="L10" s="5">
        <v>45927</v>
      </c>
      <c r="M10" s="6">
        <v>71</v>
      </c>
      <c r="P10" s="237" t="s">
        <v>81</v>
      </c>
      <c r="Q10" s="238"/>
      <c r="R10" s="2">
        <v>4</v>
      </c>
      <c r="S10" s="5">
        <v>45906</v>
      </c>
      <c r="T10" s="4">
        <v>40</v>
      </c>
    </row>
    <row r="11" spans="2:20" ht="29" x14ac:dyDescent="0.2">
      <c r="B11" s="260" t="s">
        <v>121</v>
      </c>
      <c r="C11" s="250"/>
      <c r="D11" s="251"/>
      <c r="E11" s="5">
        <v>45913</v>
      </c>
      <c r="F11" s="6">
        <v>7</v>
      </c>
      <c r="I11" s="249"/>
      <c r="J11" s="250"/>
      <c r="K11" s="251"/>
      <c r="L11" s="5"/>
      <c r="M11" s="6"/>
      <c r="P11" s="237" t="s">
        <v>37</v>
      </c>
      <c r="Q11" s="238"/>
      <c r="R11" s="2">
        <v>4</v>
      </c>
      <c r="S11" s="5">
        <v>45906</v>
      </c>
      <c r="T11" s="4">
        <v>40</v>
      </c>
    </row>
    <row r="12" spans="2:20" ht="30" thickBot="1" x14ac:dyDescent="0.25">
      <c r="B12" s="249"/>
      <c r="C12" s="250"/>
      <c r="D12" s="251"/>
      <c r="E12" s="5"/>
      <c r="F12" s="6"/>
      <c r="I12" s="249"/>
      <c r="J12" s="250"/>
      <c r="K12" s="251"/>
      <c r="L12" s="5"/>
      <c r="M12" s="6"/>
      <c r="P12" s="237" t="s">
        <v>86</v>
      </c>
      <c r="Q12" s="238"/>
      <c r="R12" s="2">
        <v>5</v>
      </c>
      <c r="S12" s="3">
        <v>45907</v>
      </c>
      <c r="T12" s="4">
        <v>50</v>
      </c>
    </row>
    <row r="13" spans="2:20" ht="30" thickBot="1" x14ac:dyDescent="0.25">
      <c r="B13" s="249"/>
      <c r="C13" s="250"/>
      <c r="D13" s="251"/>
      <c r="E13" s="5"/>
      <c r="F13" s="6"/>
      <c r="I13" s="249"/>
      <c r="J13" s="250"/>
      <c r="K13" s="251"/>
      <c r="L13" s="5"/>
      <c r="M13" s="6"/>
      <c r="P13" s="237" t="s">
        <v>16</v>
      </c>
      <c r="Q13" s="238"/>
      <c r="R13" s="2">
        <v>6</v>
      </c>
      <c r="S13" s="3">
        <v>45907</v>
      </c>
      <c r="T13" s="4">
        <v>60</v>
      </c>
    </row>
    <row r="14" spans="2:20" ht="30" thickBot="1" x14ac:dyDescent="0.25">
      <c r="B14" s="249"/>
      <c r="C14" s="250"/>
      <c r="D14" s="251"/>
      <c r="E14" s="5"/>
      <c r="F14" s="6"/>
      <c r="I14" s="249"/>
      <c r="J14" s="250"/>
      <c r="K14" s="251"/>
      <c r="L14" s="5"/>
      <c r="M14" s="6"/>
      <c r="P14" s="237" t="s">
        <v>81</v>
      </c>
      <c r="Q14" s="238"/>
      <c r="R14" s="2">
        <v>10</v>
      </c>
      <c r="S14" s="3">
        <v>45907</v>
      </c>
      <c r="T14" s="4">
        <v>100</v>
      </c>
    </row>
    <row r="15" spans="2:20" ht="30" thickBot="1" x14ac:dyDescent="0.25">
      <c r="B15" s="249"/>
      <c r="C15" s="250"/>
      <c r="D15" s="251"/>
      <c r="E15" s="5"/>
      <c r="F15" s="6"/>
      <c r="I15" s="249"/>
      <c r="J15" s="250"/>
      <c r="K15" s="251"/>
      <c r="L15" s="5"/>
      <c r="M15" s="6"/>
      <c r="P15" s="237" t="s">
        <v>86</v>
      </c>
      <c r="Q15" s="238"/>
      <c r="R15" s="2">
        <v>5</v>
      </c>
      <c r="S15" s="3">
        <v>45913</v>
      </c>
      <c r="T15" s="4">
        <v>50</v>
      </c>
    </row>
    <row r="16" spans="2:20" ht="30" thickBot="1" x14ac:dyDescent="0.25">
      <c r="B16" s="249"/>
      <c r="C16" s="250"/>
      <c r="D16" s="251"/>
      <c r="E16" s="5"/>
      <c r="F16" s="6"/>
      <c r="I16" s="249"/>
      <c r="J16" s="250"/>
      <c r="K16" s="251"/>
      <c r="L16" s="5"/>
      <c r="M16" s="6"/>
      <c r="P16" s="237"/>
      <c r="Q16" s="238"/>
      <c r="R16" s="2"/>
      <c r="S16" s="3"/>
      <c r="T16" s="4"/>
    </row>
    <row r="17" spans="2:20" ht="30" thickBot="1" x14ac:dyDescent="0.25">
      <c r="B17" s="249"/>
      <c r="C17" s="250"/>
      <c r="D17" s="251"/>
      <c r="E17" s="5"/>
      <c r="F17" s="6"/>
      <c r="I17" s="249"/>
      <c r="J17" s="250"/>
      <c r="K17" s="251"/>
      <c r="L17" s="5"/>
      <c r="M17" s="6"/>
      <c r="P17" s="237"/>
      <c r="Q17" s="238"/>
      <c r="R17" s="2"/>
      <c r="S17" s="3"/>
      <c r="T17" s="4"/>
    </row>
    <row r="18" spans="2:20" ht="30" thickBot="1" x14ac:dyDescent="0.25">
      <c r="B18" s="249"/>
      <c r="C18" s="250"/>
      <c r="D18" s="251"/>
      <c r="E18" s="5"/>
      <c r="F18" s="6"/>
      <c r="I18" s="249"/>
      <c r="J18" s="250"/>
      <c r="K18" s="251"/>
      <c r="L18" s="5"/>
      <c r="M18" s="6"/>
      <c r="P18" s="237"/>
      <c r="Q18" s="238"/>
      <c r="R18" s="2"/>
      <c r="S18" s="3"/>
      <c r="T18" s="4"/>
    </row>
    <row r="19" spans="2:20" ht="30" thickBot="1" x14ac:dyDescent="0.25">
      <c r="B19" s="249"/>
      <c r="C19" s="250"/>
      <c r="D19" s="251"/>
      <c r="E19" s="5"/>
      <c r="F19" s="6"/>
      <c r="I19" s="249"/>
      <c r="J19" s="250"/>
      <c r="K19" s="251"/>
      <c r="L19" s="5"/>
      <c r="M19" s="6"/>
      <c r="P19" s="237"/>
      <c r="Q19" s="238"/>
      <c r="R19" s="2"/>
      <c r="S19" s="3"/>
      <c r="T19" s="4"/>
    </row>
    <row r="20" spans="2:20" ht="30" thickBot="1" x14ac:dyDescent="0.25">
      <c r="B20" s="249"/>
      <c r="C20" s="250"/>
      <c r="D20" s="251"/>
      <c r="E20" s="5"/>
      <c r="F20" s="6"/>
      <c r="I20" s="249"/>
      <c r="J20" s="250"/>
      <c r="K20" s="251"/>
      <c r="L20" s="5"/>
      <c r="M20" s="6"/>
      <c r="P20" s="237"/>
      <c r="Q20" s="238"/>
      <c r="R20" s="2"/>
      <c r="S20" s="3"/>
      <c r="T20" s="4"/>
    </row>
    <row r="21" spans="2:20" ht="30" thickBot="1" x14ac:dyDescent="0.25">
      <c r="B21" s="249"/>
      <c r="C21" s="250"/>
      <c r="D21" s="251"/>
      <c r="E21" s="5"/>
      <c r="F21" s="6"/>
      <c r="I21" s="249"/>
      <c r="J21" s="250"/>
      <c r="K21" s="251"/>
      <c r="L21" s="5"/>
      <c r="M21" s="6"/>
      <c r="P21" s="237"/>
      <c r="Q21" s="238"/>
      <c r="R21" s="2"/>
      <c r="S21" s="3"/>
      <c r="T21" s="4"/>
    </row>
    <row r="22" spans="2:20" ht="30" thickBot="1" x14ac:dyDescent="0.25">
      <c r="B22" s="249"/>
      <c r="C22" s="250"/>
      <c r="D22" s="251"/>
      <c r="E22" s="5"/>
      <c r="F22" s="6"/>
      <c r="I22" s="249"/>
      <c r="J22" s="250"/>
      <c r="K22" s="251"/>
      <c r="L22" s="5"/>
      <c r="M22" s="6"/>
      <c r="P22" s="237"/>
      <c r="Q22" s="238"/>
      <c r="R22" s="2"/>
      <c r="S22" s="3"/>
      <c r="T22" s="4"/>
    </row>
    <row r="23" spans="2:20" ht="30" thickBot="1" x14ac:dyDescent="0.25">
      <c r="B23" s="249"/>
      <c r="C23" s="250"/>
      <c r="D23" s="251"/>
      <c r="E23" s="5"/>
      <c r="F23" s="6"/>
      <c r="I23" s="249"/>
      <c r="J23" s="250"/>
      <c r="K23" s="251"/>
      <c r="L23" s="5"/>
      <c r="M23" s="6"/>
      <c r="P23" s="237"/>
      <c r="Q23" s="238"/>
      <c r="R23" s="2"/>
      <c r="S23" s="3"/>
      <c r="T23" s="4"/>
    </row>
    <row r="24" spans="2:20" ht="30" thickBot="1" x14ac:dyDescent="0.25">
      <c r="B24" s="249"/>
      <c r="C24" s="250"/>
      <c r="D24" s="251"/>
      <c r="E24" s="5"/>
      <c r="F24" s="6"/>
      <c r="I24" s="249"/>
      <c r="J24" s="250"/>
      <c r="K24" s="251"/>
      <c r="L24" s="5"/>
      <c r="M24" s="6"/>
      <c r="P24" s="237"/>
      <c r="Q24" s="238"/>
      <c r="R24" s="2"/>
      <c r="S24" s="3"/>
      <c r="T24" s="4"/>
    </row>
    <row r="25" spans="2:20" ht="30" thickBot="1" x14ac:dyDescent="0.25">
      <c r="B25" s="249"/>
      <c r="C25" s="250"/>
      <c r="D25" s="251"/>
      <c r="E25" s="5"/>
      <c r="F25" s="6"/>
      <c r="I25" s="249"/>
      <c r="J25" s="250"/>
      <c r="K25" s="251"/>
      <c r="L25" s="5"/>
      <c r="M25" s="6"/>
      <c r="P25" s="237"/>
      <c r="Q25" s="238"/>
      <c r="R25" s="2"/>
      <c r="S25" s="3"/>
      <c r="T25" s="4"/>
    </row>
    <row r="26" spans="2:20" ht="30" thickBot="1" x14ac:dyDescent="0.25">
      <c r="B26" s="249"/>
      <c r="C26" s="250"/>
      <c r="D26" s="251"/>
      <c r="E26" s="5"/>
      <c r="F26" s="6"/>
      <c r="I26" s="249"/>
      <c r="J26" s="250"/>
      <c r="K26" s="251"/>
      <c r="L26" s="5"/>
      <c r="M26" s="6"/>
      <c r="P26" s="237"/>
      <c r="Q26" s="238"/>
      <c r="R26" s="2"/>
      <c r="S26" s="3"/>
      <c r="T26" s="4"/>
    </row>
    <row r="27" spans="2:20" ht="30" thickBot="1" x14ac:dyDescent="0.25">
      <c r="B27" s="249"/>
      <c r="C27" s="250"/>
      <c r="D27" s="251"/>
      <c r="E27" s="5"/>
      <c r="F27" s="6"/>
      <c r="I27" s="249"/>
      <c r="J27" s="250"/>
      <c r="K27" s="251"/>
      <c r="L27" s="5"/>
      <c r="M27" s="6"/>
      <c r="P27" s="237"/>
      <c r="Q27" s="238"/>
      <c r="R27" s="2"/>
      <c r="S27" s="3"/>
      <c r="T27" s="4"/>
    </row>
    <row r="28" spans="2:20" ht="30" thickBot="1" x14ac:dyDescent="0.25">
      <c r="B28" s="249"/>
      <c r="C28" s="250"/>
      <c r="D28" s="251"/>
      <c r="E28" s="5"/>
      <c r="F28" s="6"/>
      <c r="I28" s="249"/>
      <c r="J28" s="250"/>
      <c r="K28" s="251"/>
      <c r="L28" s="5"/>
      <c r="M28" s="6"/>
      <c r="P28" s="237"/>
      <c r="Q28" s="238"/>
      <c r="R28" s="2"/>
      <c r="S28" s="3"/>
      <c r="T28" s="4"/>
    </row>
    <row r="29" spans="2:20" ht="30" thickBot="1" x14ac:dyDescent="0.25">
      <c r="B29" s="249"/>
      <c r="C29" s="250"/>
      <c r="D29" s="251"/>
      <c r="E29" s="5"/>
      <c r="F29" s="6"/>
      <c r="I29" s="249"/>
      <c r="J29" s="250"/>
      <c r="K29" s="251"/>
      <c r="L29" s="5"/>
      <c r="M29" s="6"/>
      <c r="P29" s="237"/>
      <c r="Q29" s="238"/>
      <c r="R29" s="2"/>
      <c r="S29" s="3"/>
      <c r="T29" s="4"/>
    </row>
    <row r="30" spans="2:20" ht="30" thickBot="1" x14ac:dyDescent="0.25">
      <c r="B30" s="249"/>
      <c r="C30" s="250"/>
      <c r="D30" s="251"/>
      <c r="E30" s="5"/>
      <c r="F30" s="6"/>
      <c r="I30" s="249"/>
      <c r="J30" s="250"/>
      <c r="K30" s="251"/>
      <c r="L30" s="5"/>
      <c r="M30" s="6"/>
      <c r="P30" s="237"/>
      <c r="Q30" s="238"/>
      <c r="R30" s="2"/>
      <c r="S30" s="3"/>
      <c r="T30" s="4"/>
    </row>
    <row r="31" spans="2:20" ht="30" thickBot="1" x14ac:dyDescent="0.25">
      <c r="B31" s="249"/>
      <c r="C31" s="250"/>
      <c r="D31" s="251"/>
      <c r="E31" s="5"/>
      <c r="F31" s="6"/>
      <c r="I31" s="249"/>
      <c r="J31" s="250"/>
      <c r="K31" s="251"/>
      <c r="L31" s="5"/>
      <c r="M31" s="6"/>
      <c r="P31" s="237"/>
      <c r="Q31" s="238"/>
      <c r="R31" s="2"/>
      <c r="S31" s="3"/>
      <c r="T31" s="4"/>
    </row>
    <row r="32" spans="2:20" ht="30" thickBot="1" x14ac:dyDescent="0.25">
      <c r="B32" s="249"/>
      <c r="C32" s="250"/>
      <c r="D32" s="251"/>
      <c r="E32" s="5"/>
      <c r="F32" s="6"/>
      <c r="I32" s="249"/>
      <c r="J32" s="250"/>
      <c r="K32" s="251"/>
      <c r="L32" s="5"/>
      <c r="M32" s="6"/>
      <c r="P32" s="237"/>
      <c r="Q32" s="238"/>
      <c r="R32" s="2"/>
      <c r="S32" s="3"/>
      <c r="T32" s="4"/>
    </row>
    <row r="33" spans="2:20" ht="30" thickBot="1" x14ac:dyDescent="0.25">
      <c r="B33" s="249"/>
      <c r="C33" s="250"/>
      <c r="D33" s="251"/>
      <c r="E33" s="5"/>
      <c r="F33" s="6"/>
      <c r="I33" s="249"/>
      <c r="J33" s="250"/>
      <c r="K33" s="251"/>
      <c r="L33" s="5"/>
      <c r="M33" s="6"/>
      <c r="P33" s="237"/>
      <c r="Q33" s="238"/>
      <c r="R33" s="2"/>
      <c r="S33" s="3"/>
      <c r="T33" s="4"/>
    </row>
    <row r="34" spans="2:20" ht="30" thickBot="1" x14ac:dyDescent="0.25">
      <c r="B34" s="249"/>
      <c r="C34" s="250"/>
      <c r="D34" s="251"/>
      <c r="E34" s="5"/>
      <c r="F34" s="6"/>
      <c r="I34" s="249"/>
      <c r="J34" s="250"/>
      <c r="K34" s="251"/>
      <c r="L34" s="5"/>
      <c r="M34" s="6"/>
      <c r="P34" s="237"/>
      <c r="Q34" s="238"/>
      <c r="R34" s="2"/>
      <c r="S34" s="3"/>
      <c r="T34" s="4"/>
    </row>
    <row r="35" spans="2:20" ht="30" thickBot="1" x14ac:dyDescent="0.25">
      <c r="B35" s="249"/>
      <c r="C35" s="250"/>
      <c r="D35" s="251"/>
      <c r="E35" s="5"/>
      <c r="F35" s="6"/>
      <c r="I35" s="249"/>
      <c r="J35" s="250"/>
      <c r="K35" s="251"/>
      <c r="L35" s="5"/>
      <c r="M35" s="6"/>
      <c r="P35" s="237"/>
      <c r="Q35" s="238"/>
      <c r="R35" s="2"/>
      <c r="S35" s="3"/>
      <c r="T35" s="4"/>
    </row>
    <row r="36" spans="2:20" ht="30" thickBot="1" x14ac:dyDescent="0.25">
      <c r="B36" s="249"/>
      <c r="C36" s="250"/>
      <c r="D36" s="251"/>
      <c r="E36" s="5"/>
      <c r="F36" s="6"/>
      <c r="I36" s="249"/>
      <c r="J36" s="250"/>
      <c r="K36" s="251"/>
      <c r="L36" s="5"/>
      <c r="M36" s="6"/>
      <c r="P36" s="237"/>
      <c r="Q36" s="238"/>
      <c r="R36" s="2"/>
      <c r="S36" s="3"/>
      <c r="T36" s="4"/>
    </row>
    <row r="37" spans="2:20" x14ac:dyDescent="0.2">
      <c r="B37" s="105" t="s">
        <v>27</v>
      </c>
      <c r="C37" s="106"/>
      <c r="D37" s="106"/>
      <c r="E37" s="107"/>
      <c r="F37" s="111">
        <f>SUM(F9:F36)</f>
        <v>37</v>
      </c>
      <c r="I37" s="113" t="s">
        <v>28</v>
      </c>
      <c r="J37" s="114"/>
      <c r="K37" s="114"/>
      <c r="L37" s="115"/>
      <c r="M37" s="111">
        <f>SUM(M9:M36)</f>
        <v>115</v>
      </c>
      <c r="P37" s="119" t="s">
        <v>29</v>
      </c>
      <c r="Q37" s="120"/>
      <c r="R37" s="120"/>
      <c r="S37" s="121"/>
      <c r="T37" s="111">
        <f>SUM(T9:T36)</f>
        <v>430</v>
      </c>
    </row>
    <row r="38" spans="2:20" ht="17" thickBot="1" x14ac:dyDescent="0.25">
      <c r="B38" s="108"/>
      <c r="C38" s="109"/>
      <c r="D38" s="109"/>
      <c r="E38" s="110"/>
      <c r="F38" s="112"/>
      <c r="I38" s="116"/>
      <c r="J38" s="117"/>
      <c r="K38" s="117"/>
      <c r="L38" s="118"/>
      <c r="M38" s="112"/>
      <c r="P38" s="122"/>
      <c r="Q38" s="123"/>
      <c r="R38" s="123"/>
      <c r="S38" s="124"/>
      <c r="T38" s="112"/>
    </row>
    <row r="40" spans="2:20" ht="17" thickBot="1" x14ac:dyDescent="0.25"/>
    <row r="41" spans="2:20" x14ac:dyDescent="0.2">
      <c r="B41" s="52" t="s">
        <v>30</v>
      </c>
      <c r="C41" s="53"/>
      <c r="D41" s="53"/>
      <c r="E41" s="53"/>
      <c r="F41" s="54"/>
      <c r="G41" s="61">
        <f>F37+M37+T37</f>
        <v>582</v>
      </c>
      <c r="H41" s="62"/>
      <c r="I41" s="63"/>
    </row>
    <row r="42" spans="2:20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0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13270</v>
      </c>
      <c r="P43" s="80"/>
      <c r="Q43" s="81"/>
    </row>
    <row r="44" spans="2:20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20" x14ac:dyDescent="0.2">
      <c r="K45" s="73"/>
      <c r="L45" s="74"/>
      <c r="M45" s="74"/>
      <c r="N45" s="75"/>
      <c r="O45" s="82"/>
      <c r="P45" s="83"/>
      <c r="Q45" s="84"/>
    </row>
    <row r="46" spans="2:20" x14ac:dyDescent="0.2">
      <c r="K46" s="73"/>
      <c r="L46" s="74"/>
      <c r="M46" s="74"/>
      <c r="N46" s="75"/>
      <c r="O46" s="82"/>
      <c r="P46" s="83"/>
      <c r="Q46" s="84"/>
    </row>
    <row r="47" spans="2:20" ht="17" thickBot="1" x14ac:dyDescent="0.25">
      <c r="K47" s="73"/>
      <c r="L47" s="74"/>
      <c r="M47" s="74"/>
      <c r="N47" s="75"/>
      <c r="O47" s="82"/>
      <c r="P47" s="83"/>
      <c r="Q47" s="84"/>
    </row>
    <row r="48" spans="2:20" x14ac:dyDescent="0.2">
      <c r="B48" s="88" t="s">
        <v>32</v>
      </c>
      <c r="C48" s="89"/>
      <c r="D48" s="89"/>
      <c r="E48" s="89"/>
      <c r="F48" s="90"/>
      <c r="G48" s="61">
        <v>13852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99"/>
      <c r="H50" s="100"/>
      <c r="I50" s="101"/>
    </row>
    <row r="51" spans="2:17" ht="17" thickBot="1" x14ac:dyDescent="0.25">
      <c r="B51" s="94"/>
      <c r="C51" s="95"/>
      <c r="D51" s="95"/>
      <c r="E51" s="95"/>
      <c r="F51" s="96"/>
      <c r="G51" s="102"/>
      <c r="H51" s="103"/>
      <c r="I51" s="104"/>
    </row>
  </sheetData>
  <mergeCells count="103">
    <mergeCell ref="B2:T3"/>
    <mergeCell ref="B6:F7"/>
    <mergeCell ref="I6:M7"/>
    <mergeCell ref="P6:T7"/>
    <mergeCell ref="B8:D8"/>
    <mergeCell ref="I8:K8"/>
    <mergeCell ref="P8:Q8"/>
    <mergeCell ref="B11:D11"/>
    <mergeCell ref="I11:K11"/>
    <mergeCell ref="P11:Q11"/>
    <mergeCell ref="B12:D12"/>
    <mergeCell ref="I12:K12"/>
    <mergeCell ref="P12:Q12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T37:T38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FC4-B059-BF45-BFCB-5786891AE0BA}">
  <dimension ref="B1:T51"/>
  <sheetViews>
    <sheetView tabSelected="1" topLeftCell="A19" zoomScale="46" zoomScaleNormal="46" workbookViewId="0">
      <selection activeCell="P9" sqref="P9:S10"/>
    </sheetView>
  </sheetViews>
  <sheetFormatPr baseColWidth="10" defaultColWidth="10.83203125" defaultRowHeight="16" x14ac:dyDescent="0.2"/>
  <cols>
    <col min="2" max="2" width="16.1640625" customWidth="1"/>
    <col min="3" max="3" width="14" customWidth="1"/>
    <col min="4" max="4" width="53.1640625" customWidth="1"/>
    <col min="5" max="5" width="18.83203125" customWidth="1"/>
    <col min="6" max="6" width="24.5" customWidth="1"/>
    <col min="9" max="9" width="16.6640625" customWidth="1"/>
    <col min="10" max="10" width="18.83203125" customWidth="1"/>
    <col min="11" max="11" width="46.83203125" customWidth="1"/>
    <col min="12" max="12" width="16.6640625" customWidth="1"/>
    <col min="13" max="13" width="26" customWidth="1"/>
    <col min="16" max="16" width="18.83203125" customWidth="1"/>
    <col min="17" max="17" width="25.5" customWidth="1"/>
    <col min="18" max="18" width="49.6640625" customWidth="1"/>
    <col min="19" max="19" width="22" customWidth="1"/>
    <col min="20" max="20" width="27.83203125" customWidth="1"/>
  </cols>
  <sheetData>
    <row r="1" spans="2:20" ht="17" thickBot="1" x14ac:dyDescent="0.25"/>
    <row r="2" spans="2:20" ht="16" customHeight="1" x14ac:dyDescent="0.2"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</row>
    <row r="3" spans="2:20" ht="73" customHeight="1" thickBo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40"/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7" thickBo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6" customHeight="1" x14ac:dyDescent="0.2">
      <c r="B6" s="141" t="s">
        <v>1</v>
      </c>
      <c r="C6" s="142"/>
      <c r="D6" s="142"/>
      <c r="E6" s="142"/>
      <c r="F6" s="143"/>
      <c r="I6" s="147" t="s">
        <v>2</v>
      </c>
      <c r="J6" s="148"/>
      <c r="K6" s="148"/>
      <c r="L6" s="148"/>
      <c r="M6" s="149"/>
      <c r="P6" s="153" t="s">
        <v>3</v>
      </c>
      <c r="Q6" s="154"/>
      <c r="R6" s="154"/>
      <c r="S6" s="154"/>
      <c r="T6" s="155"/>
    </row>
    <row r="7" spans="2:20" ht="17" customHeight="1" thickBot="1" x14ac:dyDescent="0.25">
      <c r="B7" s="144"/>
      <c r="C7" s="145"/>
      <c r="D7" s="145"/>
      <c r="E7" s="145"/>
      <c r="F7" s="146"/>
      <c r="I7" s="150"/>
      <c r="J7" s="151"/>
      <c r="K7" s="151"/>
      <c r="L7" s="151"/>
      <c r="M7" s="152"/>
      <c r="P7" s="156"/>
      <c r="Q7" s="157"/>
      <c r="R7" s="157"/>
      <c r="S7" s="157"/>
      <c r="T7" s="158"/>
    </row>
    <row r="8" spans="2:20" ht="38" thickBot="1" x14ac:dyDescent="0.25">
      <c r="B8" s="159" t="s">
        <v>4</v>
      </c>
      <c r="C8" s="160"/>
      <c r="D8" s="161"/>
      <c r="E8" s="7" t="s">
        <v>5</v>
      </c>
      <c r="F8" s="7" t="s">
        <v>6</v>
      </c>
      <c r="I8" s="162" t="s">
        <v>4</v>
      </c>
      <c r="J8" s="163"/>
      <c r="K8" s="164"/>
      <c r="L8" s="8" t="s">
        <v>5</v>
      </c>
      <c r="M8" s="8" t="s">
        <v>6</v>
      </c>
      <c r="P8" s="165" t="s">
        <v>7</v>
      </c>
      <c r="Q8" s="166"/>
      <c r="R8" s="9" t="s">
        <v>8</v>
      </c>
      <c r="S8" s="9" t="s">
        <v>5</v>
      </c>
      <c r="T8" s="9" t="s">
        <v>6</v>
      </c>
    </row>
    <row r="9" spans="2:20" ht="30" thickBot="1" x14ac:dyDescent="0.25">
      <c r="B9" s="249"/>
      <c r="C9" s="250"/>
      <c r="D9" s="251"/>
      <c r="E9" s="5"/>
      <c r="F9" s="6"/>
      <c r="I9" s="249"/>
      <c r="J9" s="250"/>
      <c r="K9" s="251"/>
      <c r="L9" s="5"/>
      <c r="M9" s="6"/>
      <c r="P9" s="237"/>
      <c r="Q9" s="238"/>
      <c r="R9" s="2"/>
      <c r="S9" s="3"/>
      <c r="T9" s="4"/>
    </row>
    <row r="10" spans="2:20" ht="30" thickBot="1" x14ac:dyDescent="0.25">
      <c r="B10" s="249"/>
      <c r="C10" s="250"/>
      <c r="D10" s="251"/>
      <c r="E10" s="5"/>
      <c r="F10" s="6"/>
      <c r="I10" s="249"/>
      <c r="J10" s="250"/>
      <c r="K10" s="251"/>
      <c r="L10" s="5"/>
      <c r="M10" s="6"/>
      <c r="P10" s="237"/>
      <c r="Q10" s="238"/>
      <c r="R10" s="2"/>
      <c r="S10" s="3"/>
      <c r="T10" s="4"/>
    </row>
    <row r="11" spans="2:20" ht="30" thickBot="1" x14ac:dyDescent="0.25">
      <c r="B11" s="249"/>
      <c r="C11" s="250"/>
      <c r="D11" s="251"/>
      <c r="E11" s="5"/>
      <c r="F11" s="6"/>
      <c r="I11" s="249"/>
      <c r="J11" s="250"/>
      <c r="K11" s="251"/>
      <c r="L11" s="5"/>
      <c r="M11" s="6"/>
      <c r="P11" s="237"/>
      <c r="Q11" s="238"/>
      <c r="R11" s="2"/>
      <c r="S11" s="3"/>
      <c r="T11" s="4"/>
    </row>
    <row r="12" spans="2:20" ht="30" thickBot="1" x14ac:dyDescent="0.25">
      <c r="B12" s="249"/>
      <c r="C12" s="250"/>
      <c r="D12" s="251"/>
      <c r="E12" s="5"/>
      <c r="F12" s="6"/>
      <c r="I12" s="249"/>
      <c r="J12" s="250"/>
      <c r="K12" s="251"/>
      <c r="L12" s="5"/>
      <c r="M12" s="6"/>
      <c r="P12" s="237"/>
      <c r="Q12" s="238"/>
      <c r="R12" s="2"/>
      <c r="S12" s="3"/>
      <c r="T12" s="4"/>
    </row>
    <row r="13" spans="2:20" ht="30" thickBot="1" x14ac:dyDescent="0.25">
      <c r="B13" s="249"/>
      <c r="C13" s="250"/>
      <c r="D13" s="251"/>
      <c r="E13" s="5"/>
      <c r="F13" s="6"/>
      <c r="I13" s="249"/>
      <c r="J13" s="250"/>
      <c r="K13" s="251"/>
      <c r="L13" s="5"/>
      <c r="M13" s="6"/>
      <c r="P13" s="237"/>
      <c r="Q13" s="238"/>
      <c r="R13" s="2"/>
      <c r="S13" s="3"/>
      <c r="T13" s="4"/>
    </row>
    <row r="14" spans="2:20" ht="30" thickBot="1" x14ac:dyDescent="0.25">
      <c r="B14" s="249"/>
      <c r="C14" s="250"/>
      <c r="D14" s="251"/>
      <c r="E14" s="5"/>
      <c r="F14" s="6"/>
      <c r="I14" s="249"/>
      <c r="J14" s="250"/>
      <c r="K14" s="251"/>
      <c r="L14" s="5"/>
      <c r="M14" s="6"/>
      <c r="P14" s="237"/>
      <c r="Q14" s="238"/>
      <c r="R14" s="2"/>
      <c r="S14" s="3"/>
      <c r="T14" s="4"/>
    </row>
    <row r="15" spans="2:20" ht="30" thickBot="1" x14ac:dyDescent="0.25">
      <c r="B15" s="249"/>
      <c r="C15" s="250"/>
      <c r="D15" s="251"/>
      <c r="E15" s="5"/>
      <c r="F15" s="6"/>
      <c r="I15" s="249"/>
      <c r="J15" s="250"/>
      <c r="K15" s="251"/>
      <c r="L15" s="5"/>
      <c r="M15" s="6"/>
      <c r="P15" s="237"/>
      <c r="Q15" s="238"/>
      <c r="R15" s="2"/>
      <c r="S15" s="3"/>
      <c r="T15" s="4"/>
    </row>
    <row r="16" spans="2:20" ht="30" thickBot="1" x14ac:dyDescent="0.25">
      <c r="B16" s="249"/>
      <c r="C16" s="250"/>
      <c r="D16" s="251"/>
      <c r="E16" s="5"/>
      <c r="F16" s="6"/>
      <c r="I16" s="249"/>
      <c r="J16" s="250"/>
      <c r="K16" s="251"/>
      <c r="L16" s="5"/>
      <c r="M16" s="6"/>
      <c r="P16" s="237"/>
      <c r="Q16" s="238"/>
      <c r="R16" s="2"/>
      <c r="S16" s="3"/>
      <c r="T16" s="4"/>
    </row>
    <row r="17" spans="2:20" ht="30" thickBot="1" x14ac:dyDescent="0.25">
      <c r="B17" s="249"/>
      <c r="C17" s="250"/>
      <c r="D17" s="251"/>
      <c r="E17" s="5"/>
      <c r="F17" s="6"/>
      <c r="I17" s="249"/>
      <c r="J17" s="250"/>
      <c r="K17" s="251"/>
      <c r="L17" s="5"/>
      <c r="M17" s="6"/>
      <c r="P17" s="237"/>
      <c r="Q17" s="238"/>
      <c r="R17" s="2"/>
      <c r="S17" s="3"/>
      <c r="T17" s="4"/>
    </row>
    <row r="18" spans="2:20" ht="30" thickBot="1" x14ac:dyDescent="0.25">
      <c r="B18" s="249"/>
      <c r="C18" s="250"/>
      <c r="D18" s="251"/>
      <c r="E18" s="5"/>
      <c r="F18" s="6"/>
      <c r="I18" s="249"/>
      <c r="J18" s="250"/>
      <c r="K18" s="251"/>
      <c r="L18" s="5"/>
      <c r="M18" s="6"/>
      <c r="P18" s="237"/>
      <c r="Q18" s="238"/>
      <c r="R18" s="2"/>
      <c r="S18" s="3"/>
      <c r="T18" s="4"/>
    </row>
    <row r="19" spans="2:20" ht="30" thickBot="1" x14ac:dyDescent="0.25">
      <c r="B19" s="249"/>
      <c r="C19" s="250"/>
      <c r="D19" s="251"/>
      <c r="E19" s="5"/>
      <c r="F19" s="6"/>
      <c r="I19" s="249"/>
      <c r="J19" s="250"/>
      <c r="K19" s="251"/>
      <c r="L19" s="5"/>
      <c r="M19" s="6"/>
      <c r="P19" s="237"/>
      <c r="Q19" s="238"/>
      <c r="R19" s="2"/>
      <c r="S19" s="3"/>
      <c r="T19" s="4"/>
    </row>
    <row r="20" spans="2:20" ht="30" thickBot="1" x14ac:dyDescent="0.25">
      <c r="B20" s="249"/>
      <c r="C20" s="250"/>
      <c r="D20" s="251"/>
      <c r="E20" s="5"/>
      <c r="F20" s="6"/>
      <c r="I20" s="249"/>
      <c r="J20" s="250"/>
      <c r="K20" s="251"/>
      <c r="L20" s="5"/>
      <c r="M20" s="6"/>
      <c r="P20" s="237"/>
      <c r="Q20" s="238"/>
      <c r="R20" s="2"/>
      <c r="S20" s="3"/>
      <c r="T20" s="4"/>
    </row>
    <row r="21" spans="2:20" ht="30" thickBot="1" x14ac:dyDescent="0.25">
      <c r="B21" s="249"/>
      <c r="C21" s="250"/>
      <c r="D21" s="251"/>
      <c r="E21" s="5"/>
      <c r="F21" s="6"/>
      <c r="I21" s="249"/>
      <c r="J21" s="250"/>
      <c r="K21" s="251"/>
      <c r="L21" s="5"/>
      <c r="M21" s="6"/>
      <c r="P21" s="237"/>
      <c r="Q21" s="238"/>
      <c r="R21" s="2"/>
      <c r="S21" s="3"/>
      <c r="T21" s="4"/>
    </row>
    <row r="22" spans="2:20" ht="30" thickBot="1" x14ac:dyDescent="0.25">
      <c r="B22" s="249"/>
      <c r="C22" s="250"/>
      <c r="D22" s="251"/>
      <c r="E22" s="5"/>
      <c r="F22" s="6"/>
      <c r="I22" s="249"/>
      <c r="J22" s="250"/>
      <c r="K22" s="251"/>
      <c r="L22" s="5"/>
      <c r="M22" s="6"/>
      <c r="P22" s="237"/>
      <c r="Q22" s="238"/>
      <c r="R22" s="2"/>
      <c r="S22" s="3"/>
      <c r="T22" s="4"/>
    </row>
    <row r="23" spans="2:20" ht="30" thickBot="1" x14ac:dyDescent="0.25">
      <c r="B23" s="249"/>
      <c r="C23" s="250"/>
      <c r="D23" s="251"/>
      <c r="E23" s="5"/>
      <c r="F23" s="6"/>
      <c r="I23" s="249"/>
      <c r="J23" s="250"/>
      <c r="K23" s="251"/>
      <c r="L23" s="5"/>
      <c r="M23" s="6"/>
      <c r="P23" s="237"/>
      <c r="Q23" s="238"/>
      <c r="R23" s="2"/>
      <c r="S23" s="3"/>
      <c r="T23" s="4"/>
    </row>
    <row r="24" spans="2:20" ht="30" thickBot="1" x14ac:dyDescent="0.25">
      <c r="B24" s="249"/>
      <c r="C24" s="250"/>
      <c r="D24" s="251"/>
      <c r="E24" s="5"/>
      <c r="F24" s="6"/>
      <c r="I24" s="249"/>
      <c r="J24" s="250"/>
      <c r="K24" s="251"/>
      <c r="L24" s="5"/>
      <c r="M24" s="6"/>
      <c r="P24" s="237"/>
      <c r="Q24" s="238"/>
      <c r="R24" s="2"/>
      <c r="S24" s="3"/>
      <c r="T24" s="4"/>
    </row>
    <row r="25" spans="2:20" ht="30" thickBot="1" x14ac:dyDescent="0.25">
      <c r="B25" s="249"/>
      <c r="C25" s="250"/>
      <c r="D25" s="251"/>
      <c r="E25" s="5"/>
      <c r="F25" s="6"/>
      <c r="I25" s="249"/>
      <c r="J25" s="250"/>
      <c r="K25" s="251"/>
      <c r="L25" s="5"/>
      <c r="M25" s="6"/>
      <c r="P25" s="237"/>
      <c r="Q25" s="238"/>
      <c r="R25" s="2"/>
      <c r="S25" s="3"/>
      <c r="T25" s="4"/>
    </row>
    <row r="26" spans="2:20" ht="30" thickBot="1" x14ac:dyDescent="0.25">
      <c r="B26" s="249"/>
      <c r="C26" s="250"/>
      <c r="D26" s="251"/>
      <c r="E26" s="5"/>
      <c r="F26" s="6"/>
      <c r="I26" s="249"/>
      <c r="J26" s="250"/>
      <c r="K26" s="251"/>
      <c r="L26" s="5"/>
      <c r="M26" s="6"/>
      <c r="P26" s="237"/>
      <c r="Q26" s="238"/>
      <c r="R26" s="2"/>
      <c r="S26" s="3"/>
      <c r="T26" s="4"/>
    </row>
    <row r="27" spans="2:20" ht="30" thickBot="1" x14ac:dyDescent="0.25">
      <c r="B27" s="249"/>
      <c r="C27" s="250"/>
      <c r="D27" s="251"/>
      <c r="E27" s="5"/>
      <c r="F27" s="6"/>
      <c r="I27" s="249"/>
      <c r="J27" s="250"/>
      <c r="K27" s="251"/>
      <c r="L27" s="5"/>
      <c r="M27" s="6"/>
      <c r="P27" s="237"/>
      <c r="Q27" s="238"/>
      <c r="R27" s="2"/>
      <c r="S27" s="3"/>
      <c r="T27" s="4"/>
    </row>
    <row r="28" spans="2:20" ht="30" thickBot="1" x14ac:dyDescent="0.25">
      <c r="B28" s="249"/>
      <c r="C28" s="250"/>
      <c r="D28" s="251"/>
      <c r="E28" s="5"/>
      <c r="F28" s="6"/>
      <c r="I28" s="249"/>
      <c r="J28" s="250"/>
      <c r="K28" s="251"/>
      <c r="L28" s="5"/>
      <c r="M28" s="6"/>
      <c r="P28" s="237"/>
      <c r="Q28" s="238"/>
      <c r="R28" s="2"/>
      <c r="S28" s="3"/>
      <c r="T28" s="4"/>
    </row>
    <row r="29" spans="2:20" ht="30" thickBot="1" x14ac:dyDescent="0.25">
      <c r="B29" s="249"/>
      <c r="C29" s="250"/>
      <c r="D29" s="251"/>
      <c r="E29" s="5"/>
      <c r="F29" s="6"/>
      <c r="I29" s="249"/>
      <c r="J29" s="250"/>
      <c r="K29" s="251"/>
      <c r="L29" s="5"/>
      <c r="M29" s="6"/>
      <c r="P29" s="237"/>
      <c r="Q29" s="238"/>
      <c r="R29" s="2"/>
      <c r="S29" s="3"/>
      <c r="T29" s="4"/>
    </row>
    <row r="30" spans="2:20" ht="30" thickBot="1" x14ac:dyDescent="0.25">
      <c r="B30" s="249"/>
      <c r="C30" s="250"/>
      <c r="D30" s="251"/>
      <c r="E30" s="5"/>
      <c r="F30" s="6"/>
      <c r="I30" s="249"/>
      <c r="J30" s="250"/>
      <c r="K30" s="251"/>
      <c r="L30" s="5"/>
      <c r="M30" s="6"/>
      <c r="P30" s="237"/>
      <c r="Q30" s="238"/>
      <c r="R30" s="2"/>
      <c r="S30" s="3"/>
      <c r="T30" s="4"/>
    </row>
    <row r="31" spans="2:20" ht="30" thickBot="1" x14ac:dyDescent="0.25">
      <c r="B31" s="249"/>
      <c r="C31" s="250"/>
      <c r="D31" s="251"/>
      <c r="E31" s="5"/>
      <c r="F31" s="6"/>
      <c r="I31" s="249"/>
      <c r="J31" s="250"/>
      <c r="K31" s="251"/>
      <c r="L31" s="5"/>
      <c r="M31" s="6"/>
      <c r="P31" s="237"/>
      <c r="Q31" s="238"/>
      <c r="R31" s="2"/>
      <c r="S31" s="3"/>
      <c r="T31" s="4"/>
    </row>
    <row r="32" spans="2:20" ht="30" thickBot="1" x14ac:dyDescent="0.25">
      <c r="B32" s="249"/>
      <c r="C32" s="250"/>
      <c r="D32" s="251"/>
      <c r="E32" s="5"/>
      <c r="F32" s="6"/>
      <c r="I32" s="249"/>
      <c r="J32" s="250"/>
      <c r="K32" s="251"/>
      <c r="L32" s="5"/>
      <c r="M32" s="6"/>
      <c r="P32" s="237"/>
      <c r="Q32" s="238"/>
      <c r="R32" s="2"/>
      <c r="S32" s="3"/>
      <c r="T32" s="4"/>
    </row>
    <row r="33" spans="2:20" ht="30" thickBot="1" x14ac:dyDescent="0.25">
      <c r="B33" s="249"/>
      <c r="C33" s="250"/>
      <c r="D33" s="251"/>
      <c r="E33" s="5"/>
      <c r="F33" s="6"/>
      <c r="I33" s="249"/>
      <c r="J33" s="250"/>
      <c r="K33" s="251"/>
      <c r="L33" s="5"/>
      <c r="M33" s="6"/>
      <c r="P33" s="237"/>
      <c r="Q33" s="238"/>
      <c r="R33" s="2"/>
      <c r="S33" s="3"/>
      <c r="T33" s="4"/>
    </row>
    <row r="34" spans="2:20" ht="30" thickBot="1" x14ac:dyDescent="0.25">
      <c r="B34" s="249"/>
      <c r="C34" s="250"/>
      <c r="D34" s="251"/>
      <c r="E34" s="5"/>
      <c r="F34" s="6"/>
      <c r="I34" s="249"/>
      <c r="J34" s="250"/>
      <c r="K34" s="251"/>
      <c r="L34" s="5"/>
      <c r="M34" s="6"/>
      <c r="P34" s="237"/>
      <c r="Q34" s="238"/>
      <c r="R34" s="2"/>
      <c r="S34" s="3"/>
      <c r="T34" s="4"/>
    </row>
    <row r="35" spans="2:20" ht="30" thickBot="1" x14ac:dyDescent="0.25">
      <c r="B35" s="249"/>
      <c r="C35" s="250"/>
      <c r="D35" s="251"/>
      <c r="E35" s="5"/>
      <c r="F35" s="6"/>
      <c r="I35" s="249"/>
      <c r="J35" s="250"/>
      <c r="K35" s="251"/>
      <c r="L35" s="5"/>
      <c r="M35" s="6"/>
      <c r="P35" s="237"/>
      <c r="Q35" s="238"/>
      <c r="R35" s="2"/>
      <c r="S35" s="3"/>
      <c r="T35" s="4"/>
    </row>
    <row r="36" spans="2:20" ht="30" thickBot="1" x14ac:dyDescent="0.25">
      <c r="B36" s="249"/>
      <c r="C36" s="250"/>
      <c r="D36" s="251"/>
      <c r="E36" s="5"/>
      <c r="F36" s="6"/>
      <c r="I36" s="249"/>
      <c r="J36" s="250"/>
      <c r="K36" s="251"/>
      <c r="L36" s="5"/>
      <c r="M36" s="6"/>
      <c r="P36" s="237"/>
      <c r="Q36" s="238"/>
      <c r="R36" s="2"/>
      <c r="S36" s="3"/>
      <c r="T36" s="4"/>
    </row>
    <row r="37" spans="2:20" x14ac:dyDescent="0.2">
      <c r="B37" s="105" t="s">
        <v>27</v>
      </c>
      <c r="C37" s="106"/>
      <c r="D37" s="106"/>
      <c r="E37" s="107"/>
      <c r="F37" s="111">
        <f>SUM(F9:F36)</f>
        <v>0</v>
      </c>
      <c r="I37" s="113" t="s">
        <v>28</v>
      </c>
      <c r="J37" s="114"/>
      <c r="K37" s="114"/>
      <c r="L37" s="115"/>
      <c r="M37" s="111">
        <f>SUM(M9:M36)</f>
        <v>0</v>
      </c>
      <c r="P37" s="119" t="s">
        <v>29</v>
      </c>
      <c r="Q37" s="120"/>
      <c r="R37" s="120"/>
      <c r="S37" s="121"/>
      <c r="T37" s="111">
        <f>SUM(T9:T36)</f>
        <v>0</v>
      </c>
    </row>
    <row r="38" spans="2:20" ht="17" thickBot="1" x14ac:dyDescent="0.25">
      <c r="B38" s="108"/>
      <c r="C38" s="109"/>
      <c r="D38" s="109"/>
      <c r="E38" s="110"/>
      <c r="F38" s="112"/>
      <c r="I38" s="116"/>
      <c r="J38" s="117"/>
      <c r="K38" s="117"/>
      <c r="L38" s="118"/>
      <c r="M38" s="112"/>
      <c r="P38" s="122"/>
      <c r="Q38" s="123"/>
      <c r="R38" s="123"/>
      <c r="S38" s="124"/>
      <c r="T38" s="112"/>
    </row>
    <row r="40" spans="2:20" ht="17" thickBot="1" x14ac:dyDescent="0.25"/>
    <row r="41" spans="2:20" x14ac:dyDescent="0.2">
      <c r="B41" s="52" t="s">
        <v>30</v>
      </c>
      <c r="C41" s="53"/>
      <c r="D41" s="53"/>
      <c r="E41" s="53"/>
      <c r="F41" s="54"/>
      <c r="G41" s="61">
        <f>F37+M37+T37</f>
        <v>0</v>
      </c>
      <c r="H41" s="62"/>
      <c r="I41" s="63"/>
    </row>
    <row r="42" spans="2:20" ht="17" thickBot="1" x14ac:dyDescent="0.25">
      <c r="B42" s="55"/>
      <c r="C42" s="56"/>
      <c r="D42" s="56"/>
      <c r="E42" s="56"/>
      <c r="F42" s="57"/>
      <c r="G42" s="64"/>
      <c r="H42" s="65"/>
      <c r="I42" s="66"/>
    </row>
    <row r="43" spans="2:20" x14ac:dyDescent="0.2">
      <c r="B43" s="55"/>
      <c r="C43" s="56"/>
      <c r="D43" s="56"/>
      <c r="E43" s="56"/>
      <c r="F43" s="57"/>
      <c r="G43" s="64"/>
      <c r="H43" s="65"/>
      <c r="I43" s="66"/>
      <c r="K43" s="70" t="s">
        <v>31</v>
      </c>
      <c r="L43" s="71"/>
      <c r="M43" s="71"/>
      <c r="N43" s="72"/>
      <c r="O43" s="79">
        <f>G48-G41</f>
        <v>0</v>
      </c>
      <c r="P43" s="80"/>
      <c r="Q43" s="81"/>
    </row>
    <row r="44" spans="2:20" ht="17" thickBot="1" x14ac:dyDescent="0.25">
      <c r="B44" s="58"/>
      <c r="C44" s="59"/>
      <c r="D44" s="59"/>
      <c r="E44" s="59"/>
      <c r="F44" s="60"/>
      <c r="G44" s="67"/>
      <c r="H44" s="68"/>
      <c r="I44" s="69"/>
      <c r="K44" s="73"/>
      <c r="L44" s="74"/>
      <c r="M44" s="74"/>
      <c r="N44" s="75"/>
      <c r="O44" s="82"/>
      <c r="P44" s="83"/>
      <c r="Q44" s="84"/>
    </row>
    <row r="45" spans="2:20" x14ac:dyDescent="0.2">
      <c r="K45" s="73"/>
      <c r="L45" s="74"/>
      <c r="M45" s="74"/>
      <c r="N45" s="75"/>
      <c r="O45" s="82"/>
      <c r="P45" s="83"/>
      <c r="Q45" s="84"/>
    </row>
    <row r="46" spans="2:20" x14ac:dyDescent="0.2">
      <c r="K46" s="73"/>
      <c r="L46" s="74"/>
      <c r="M46" s="74"/>
      <c r="N46" s="75"/>
      <c r="O46" s="82"/>
      <c r="P46" s="83"/>
      <c r="Q46" s="84"/>
    </row>
    <row r="47" spans="2:20" ht="17" thickBot="1" x14ac:dyDescent="0.25">
      <c r="K47" s="73"/>
      <c r="L47" s="74"/>
      <c r="M47" s="74"/>
      <c r="N47" s="75"/>
      <c r="O47" s="82"/>
      <c r="P47" s="83"/>
      <c r="Q47" s="84"/>
    </row>
    <row r="48" spans="2:20" x14ac:dyDescent="0.2">
      <c r="B48" s="88" t="s">
        <v>32</v>
      </c>
      <c r="C48" s="89"/>
      <c r="D48" s="89"/>
      <c r="E48" s="89"/>
      <c r="F48" s="90"/>
      <c r="G48" s="61">
        <v>0</v>
      </c>
      <c r="H48" s="97"/>
      <c r="I48" s="98"/>
      <c r="K48" s="73"/>
      <c r="L48" s="74"/>
      <c r="M48" s="74"/>
      <c r="N48" s="75"/>
      <c r="O48" s="82"/>
      <c r="P48" s="83"/>
      <c r="Q48" s="84"/>
    </row>
    <row r="49" spans="2:17" ht="17" thickBot="1" x14ac:dyDescent="0.25">
      <c r="B49" s="91"/>
      <c r="C49" s="92"/>
      <c r="D49" s="92"/>
      <c r="E49" s="92"/>
      <c r="F49" s="93"/>
      <c r="G49" s="99"/>
      <c r="H49" s="100"/>
      <c r="I49" s="101"/>
      <c r="K49" s="76"/>
      <c r="L49" s="77"/>
      <c r="M49" s="77"/>
      <c r="N49" s="78"/>
      <c r="O49" s="85"/>
      <c r="P49" s="86"/>
      <c r="Q49" s="87"/>
    </row>
    <row r="50" spans="2:17" x14ac:dyDescent="0.2">
      <c r="B50" s="91"/>
      <c r="C50" s="92"/>
      <c r="D50" s="92"/>
      <c r="E50" s="92"/>
      <c r="F50" s="93"/>
      <c r="G50" s="99"/>
      <c r="H50" s="100"/>
      <c r="I50" s="101"/>
    </row>
    <row r="51" spans="2:17" ht="17" thickBot="1" x14ac:dyDescent="0.25">
      <c r="B51" s="94"/>
      <c r="C51" s="95"/>
      <c r="D51" s="95"/>
      <c r="E51" s="95"/>
      <c r="F51" s="96"/>
      <c r="G51" s="102"/>
      <c r="H51" s="103"/>
      <c r="I51" s="104"/>
    </row>
  </sheetData>
  <mergeCells count="103">
    <mergeCell ref="B2:T3"/>
    <mergeCell ref="B6:F7"/>
    <mergeCell ref="I6:M7"/>
    <mergeCell ref="P6:T7"/>
    <mergeCell ref="B8:D8"/>
    <mergeCell ref="I8:K8"/>
    <mergeCell ref="P8:Q8"/>
    <mergeCell ref="B11:D11"/>
    <mergeCell ref="I11:K11"/>
    <mergeCell ref="P11:Q11"/>
    <mergeCell ref="B12:D12"/>
    <mergeCell ref="I12:K12"/>
    <mergeCell ref="P12:Q12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T37:T38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41:F44"/>
    <mergeCell ref="G41:I44"/>
    <mergeCell ref="K43:N49"/>
    <mergeCell ref="O43:Q49"/>
    <mergeCell ref="B48:F51"/>
    <mergeCell ref="G48:I51"/>
    <mergeCell ref="B37:E38"/>
    <mergeCell ref="F37:F38"/>
    <mergeCell ref="I37:L38"/>
    <mergeCell ref="M37:M38"/>
    <mergeCell ref="P37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Avril</vt:lpstr>
      <vt:lpstr>Mai</vt:lpstr>
      <vt:lpstr>Juin</vt:lpstr>
      <vt:lpstr>Juillet</vt:lpstr>
      <vt:lpstr>Aout</vt:lpstr>
      <vt:lpstr>Septembre</vt:lpstr>
      <vt:lpstr>Octobre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Microsoft Office</dc:creator>
  <cp:keywords/>
  <dc:description/>
  <cp:lastModifiedBy>Pascal Bouchoucha</cp:lastModifiedBy>
  <cp:revision/>
  <dcterms:created xsi:type="dcterms:W3CDTF">2025-04-27T19:48:32Z</dcterms:created>
  <dcterms:modified xsi:type="dcterms:W3CDTF">2026-05-25T03:06:11Z</dcterms:modified>
  <cp:category/>
  <cp:contentStatus/>
</cp:coreProperties>
</file>