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1207"/>
  <workbookPr dateCompatibility="0"/>
  <mc:AlternateContent xmlns:mc="http://schemas.openxmlformats.org/markup-compatibility/2006">
    <mc:Choice Requires="x15">
      <x15ac:absPath xmlns:x15ac="http://schemas.microsoft.com/office/spreadsheetml/2010/11/ac" url="/Users/scar/Desktop/"/>
    </mc:Choice>
  </mc:AlternateContent>
  <xr:revisionPtr revIDLastSave="0" documentId="8_{211726A4-B200-844F-85D6-AE00DB744ADA}" xr6:coauthVersionLast="47" xr6:coauthVersionMax="47" xr10:uidLastSave="{00000000-0000-0000-0000-000000000000}"/>
  <bookViews>
    <workbookView xWindow="0" yWindow="660" windowWidth="30240" windowHeight="17780" tabRatio="500" activeTab="1" xr2:uid="{00000000-000D-0000-FFFF-FFFF00000000}"/>
  </bookViews>
  <sheets>
    <sheet name="Chiffres" sheetId="1" r:id="rId1"/>
    <sheet name="COMPARATIF Saisons" sheetId="8" r:id="rId2"/>
  </sheets>
  <externalReferences>
    <externalReference r:id="rId3"/>
  </externalReferences>
  <definedNames>
    <definedName name="_xlnm._FilterDatabase" localSheetId="0" hidden="1">Chiffres!$LL$1:$LP$35</definedName>
    <definedName name="DépensesMensuellesTotales">'[1]Mois en cours'!$F$9</definedName>
    <definedName name="ÉpargneMensuelleTotale">'[1]Mois en cours'!$F$12</definedName>
    <definedName name="RevenuMensuelTotal">'[1]Mois en cours'!$F$6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OL40" i="1" l="1"/>
  <c r="ON1" i="1" s="1"/>
  <c r="OF40" i="1"/>
  <c r="NY40" i="1"/>
  <c r="NY43" i="1" s="1"/>
  <c r="OH1" i="1"/>
  <c r="OA1" i="1"/>
  <c r="PR7" i="1"/>
  <c r="JV37" i="1"/>
  <c r="JX1" i="1"/>
  <c r="LV2" i="1" s="1"/>
  <c r="NT3" i="1" s="1"/>
  <c r="PR4" i="1" s="1"/>
  <c r="JP37" i="1"/>
  <c r="JR1" i="1" s="1"/>
  <c r="LP2" i="1" s="1"/>
  <c r="NN3" i="1" s="1"/>
  <c r="PL4" i="1" s="1"/>
  <c r="JJ37" i="1"/>
  <c r="JL1" i="1" s="1"/>
  <c r="LJ2" i="1" s="1"/>
  <c r="NH3" i="1" s="1"/>
  <c r="PF4" i="1" s="1"/>
  <c r="JD37" i="1"/>
  <c r="JF1" i="1"/>
  <c r="LD2" i="1"/>
  <c r="NB3" i="1"/>
  <c r="OZ4" i="1" s="1"/>
  <c r="IR37" i="1"/>
  <c r="IT1" i="1"/>
  <c r="KR2" i="1" s="1"/>
  <c r="MP3" i="1" s="1"/>
  <c r="ON4" i="1" s="1"/>
  <c r="IL37" i="1"/>
  <c r="IN1" i="1"/>
  <c r="KL2" i="1" s="1"/>
  <c r="MJ3" i="1" s="1"/>
  <c r="OH4" i="1" s="1"/>
  <c r="AK35" i="1"/>
  <c r="AM1" i="1" s="1"/>
  <c r="MN39" i="1"/>
  <c r="MP1" i="1" s="1"/>
  <c r="MA39" i="1"/>
  <c r="MC1" i="1" s="1"/>
  <c r="MH39" i="1"/>
  <c r="MJ1" i="1" s="1"/>
  <c r="MT39" i="1"/>
  <c r="MU1" i="1" s="1"/>
  <c r="MZ39" i="1"/>
  <c r="NB1" i="1" s="1"/>
  <c r="NF39" i="1"/>
  <c r="NH1" i="1" s="1"/>
  <c r="NL39" i="1"/>
  <c r="NN1" i="1" s="1"/>
  <c r="NR39" i="1"/>
  <c r="NT1" i="1" s="1"/>
  <c r="IX37" i="1"/>
  <c r="IZ1" i="1" s="1"/>
  <c r="KX2" i="1" s="1"/>
  <c r="MU3" i="1" s="1"/>
  <c r="NT6" i="1"/>
  <c r="LT38" i="1"/>
  <c r="LV1" i="1" s="1"/>
  <c r="KJ38" i="1"/>
  <c r="KL1" i="1" s="1"/>
  <c r="KP38" i="1"/>
  <c r="KR1" i="1" s="1"/>
  <c r="KV38" i="1"/>
  <c r="KX1" i="1" s="1"/>
  <c r="LB38" i="1"/>
  <c r="LD1" i="1" s="1"/>
  <c r="LH38" i="1"/>
  <c r="LJ1" i="1" s="1"/>
  <c r="LN38" i="1"/>
  <c r="LP1" i="1"/>
  <c r="LV5" i="1"/>
  <c r="JX4" i="1"/>
  <c r="HH36" i="1"/>
  <c r="HJ1" i="1"/>
  <c r="GJ36" i="1"/>
  <c r="GL1" i="1" s="1"/>
  <c r="GP36" i="1"/>
  <c r="GR1" i="1"/>
  <c r="GV36" i="1"/>
  <c r="GX1" i="1"/>
  <c r="HB36" i="1"/>
  <c r="HD1" i="1"/>
  <c r="HN36" i="1"/>
  <c r="HP1" i="1" s="1"/>
  <c r="HT36" i="1"/>
  <c r="HZ36" i="1"/>
  <c r="IB1" i="1"/>
  <c r="HV1" i="1"/>
  <c r="IB3" i="1"/>
  <c r="GE2" i="1"/>
  <c r="GC35" i="1"/>
  <c r="GE1" i="1"/>
  <c r="FW35" i="1"/>
  <c r="FY1" i="1" s="1"/>
  <c r="FQ35" i="1"/>
  <c r="FS1" i="1" s="1"/>
  <c r="FK35" i="1"/>
  <c r="FM1" i="1" s="1"/>
  <c r="FE35" i="1"/>
  <c r="FG1" i="1"/>
  <c r="EY35" i="1"/>
  <c r="FA1" i="1"/>
  <c r="ES35" i="1"/>
  <c r="EU1" i="1"/>
  <c r="EM35" i="1"/>
  <c r="DZ35" i="1"/>
  <c r="EB1" i="1" s="1"/>
  <c r="DN35" i="1"/>
  <c r="DP1" i="1"/>
  <c r="EF35" i="1"/>
  <c r="EH1" i="1"/>
  <c r="EA35" i="1"/>
  <c r="DT35" i="1"/>
  <c r="DI35" i="1"/>
  <c r="DC35" i="1"/>
  <c r="DE1" i="1" s="1"/>
  <c r="CG3" i="1"/>
  <c r="CH35" i="1"/>
  <c r="CV35" i="1"/>
  <c r="CX1" i="1" s="1"/>
  <c r="CP35" i="1"/>
  <c r="CR1" i="1" s="1"/>
  <c r="CL35" i="1"/>
  <c r="CF35" i="1"/>
  <c r="CH1" i="1" s="1"/>
  <c r="BZ35" i="1"/>
  <c r="CB1" i="1"/>
  <c r="BT35" i="1"/>
  <c r="BN35" i="1"/>
  <c r="BP1" i="1" s="1"/>
  <c r="BH35" i="1"/>
  <c r="BJ1" i="1" s="1"/>
  <c r="BB35" i="1"/>
  <c r="BD1" i="1" s="1"/>
  <c r="AQ35" i="1"/>
  <c r="AS1" i="1" s="1"/>
  <c r="AV35" i="1"/>
  <c r="AX1" i="1"/>
  <c r="P35" i="1"/>
  <c r="R1" i="1" s="1"/>
  <c r="W35" i="1"/>
  <c r="Y1" i="1"/>
  <c r="AD35" i="1"/>
  <c r="AF1" i="1" s="1"/>
  <c r="AF35" i="1"/>
  <c r="J35" i="1"/>
  <c r="L1" i="1" s="1"/>
  <c r="C35" i="1"/>
  <c r="E1" i="1"/>
  <c r="EM40" i="1" l="1"/>
  <c r="MA42" i="1"/>
  <c r="AQ40" i="1"/>
  <c r="BT40" i="1"/>
  <c r="KC41" i="1"/>
  <c r="GJ41" i="1"/>
  <c r="EO1" i="1"/>
  <c r="S5" i="8"/>
  <c r="BV1" i="1"/>
</calcChain>
</file>

<file path=xl/sharedStrings.xml><?xml version="1.0" encoding="utf-8"?>
<sst xmlns="http://purl.oclc.org/ooxml/spreadsheetml/main" count="2093" uniqueCount="125">
  <si>
    <t>PADDLE</t>
  </si>
  <si>
    <t>CHALET</t>
  </si>
  <si>
    <t>SAM 1</t>
  </si>
  <si>
    <t>MAR  1</t>
  </si>
  <si>
    <t>VEN 1</t>
  </si>
  <si>
    <t>VEND 1</t>
  </si>
  <si>
    <t xml:space="preserve">DIM </t>
  </si>
  <si>
    <t>MERC</t>
  </si>
  <si>
    <t>SAM</t>
  </si>
  <si>
    <t>Théo/Oscar</t>
  </si>
  <si>
    <t>LUN</t>
  </si>
  <si>
    <t>JEU</t>
  </si>
  <si>
    <t>MAR</t>
  </si>
  <si>
    <t>VEND</t>
  </si>
  <si>
    <t>DIM 2</t>
  </si>
  <si>
    <t>MERC 2</t>
  </si>
  <si>
    <t>SAM 2</t>
  </si>
  <si>
    <t>SAM 3</t>
  </si>
  <si>
    <t>LUN 3</t>
  </si>
  <si>
    <t>JEU 3</t>
  </si>
  <si>
    <t>DIM 3</t>
  </si>
  <si>
    <t>DIM 4</t>
  </si>
  <si>
    <t>MAR  4</t>
  </si>
  <si>
    <t>VEND 4</t>
  </si>
  <si>
    <t>LUN 4</t>
  </si>
  <si>
    <t>MERC 5</t>
  </si>
  <si>
    <t>SAM 5</t>
  </si>
  <si>
    <t>MAR  5</t>
  </si>
  <si>
    <t>SAM 06</t>
  </si>
  <si>
    <t>JEU 6</t>
  </si>
  <si>
    <t>DIM 6</t>
  </si>
  <si>
    <t>MERC 6</t>
  </si>
  <si>
    <t>DIM 07</t>
  </si>
  <si>
    <t>VEND  7</t>
  </si>
  <si>
    <t>LUN 7</t>
  </si>
  <si>
    <t>JEU 7</t>
  </si>
  <si>
    <t>SAM 8</t>
  </si>
  <si>
    <t>MAR  8</t>
  </si>
  <si>
    <t>VEND  8</t>
  </si>
  <si>
    <t>SAM 09</t>
  </si>
  <si>
    <t>DIM 9</t>
  </si>
  <si>
    <t>MERC 9</t>
  </si>
  <si>
    <t>SAM 9</t>
  </si>
  <si>
    <t>location canoé</t>
  </si>
  <si>
    <t>DIM 10</t>
  </si>
  <si>
    <t>SAM 10</t>
  </si>
  <si>
    <t>LUN 10</t>
  </si>
  <si>
    <t>JEU 10</t>
  </si>
  <si>
    <t>vente scooter</t>
  </si>
  <si>
    <t>DIM 11</t>
  </si>
  <si>
    <t>MAR  11</t>
  </si>
  <si>
    <t>VEND 11</t>
  </si>
  <si>
    <t>LUN 11</t>
  </si>
  <si>
    <t>MERC 12</t>
  </si>
  <si>
    <t>SAM 12</t>
  </si>
  <si>
    <t>MAR  12</t>
  </si>
  <si>
    <t>SAM 13</t>
  </si>
  <si>
    <t>JEU 13</t>
  </si>
  <si>
    <t>DIM 13</t>
  </si>
  <si>
    <t>MERC 13</t>
  </si>
  <si>
    <t>DIM 14</t>
  </si>
  <si>
    <t>VEND  14</t>
  </si>
  <si>
    <t>LUN 14</t>
  </si>
  <si>
    <t>JEU 14</t>
  </si>
  <si>
    <t>SAM 15</t>
  </si>
  <si>
    <t>MAR  15</t>
  </si>
  <si>
    <t>VEND  15</t>
  </si>
  <si>
    <t>SAM 16</t>
  </si>
  <si>
    <t>DIM 16</t>
  </si>
  <si>
    <t>MERC 16</t>
  </si>
  <si>
    <t>DIM 17</t>
  </si>
  <si>
    <t>SAM 17</t>
  </si>
  <si>
    <t>LUN 17</t>
  </si>
  <si>
    <t>JEU 17</t>
  </si>
  <si>
    <t>DIM 18</t>
  </si>
  <si>
    <t>MAR  18</t>
  </si>
  <si>
    <t>VEND 18</t>
  </si>
  <si>
    <t>LUN 18</t>
  </si>
  <si>
    <t>MERC 19</t>
  </si>
  <si>
    <t>SAM 19</t>
  </si>
  <si>
    <t>MAR  19</t>
  </si>
  <si>
    <t>SAM 20</t>
  </si>
  <si>
    <t>JEU 20</t>
  </si>
  <si>
    <t>DIM 20</t>
  </si>
  <si>
    <t>MERC 20</t>
  </si>
  <si>
    <t>DIM 21</t>
  </si>
  <si>
    <t>VEND  21</t>
  </si>
  <si>
    <t>LUN 21</t>
  </si>
  <si>
    <t>JEU 21</t>
  </si>
  <si>
    <t>SAM 22</t>
  </si>
  <si>
    <t>MAR  22</t>
  </si>
  <si>
    <t>VEND  22</t>
  </si>
  <si>
    <t>SAM 23</t>
  </si>
  <si>
    <t>DIM 23</t>
  </si>
  <si>
    <t>MERC 23</t>
  </si>
  <si>
    <t>DIM 24</t>
  </si>
  <si>
    <t>SAM 24</t>
  </si>
  <si>
    <t>LUN 24</t>
  </si>
  <si>
    <t>JEU 24</t>
  </si>
  <si>
    <t>DIM 25</t>
  </si>
  <si>
    <t>MAR  25</t>
  </si>
  <si>
    <t>VEND 25</t>
  </si>
  <si>
    <t>LUN 25</t>
  </si>
  <si>
    <t>MERC 26</t>
  </si>
  <si>
    <t>SAM 26</t>
  </si>
  <si>
    <t>MAR  26</t>
  </si>
  <si>
    <t>SAM 27</t>
  </si>
  <si>
    <t>JEU 27</t>
  </si>
  <si>
    <t>DIM 27</t>
  </si>
  <si>
    <t>MERC 27</t>
  </si>
  <si>
    <t>DIM 28</t>
  </si>
  <si>
    <t>VEND  28</t>
  </si>
  <si>
    <t>LUN 28</t>
  </si>
  <si>
    <t>JEU 28</t>
  </si>
  <si>
    <t>SAM 29</t>
  </si>
  <si>
    <t>MAR  29</t>
  </si>
  <si>
    <t>VEND  29</t>
  </si>
  <si>
    <t>SAM 30</t>
  </si>
  <si>
    <t>DIM 30</t>
  </si>
  <si>
    <t>MERC 30</t>
  </si>
  <si>
    <t>DIM 31</t>
  </si>
  <si>
    <t>LUN 31</t>
  </si>
  <si>
    <t>JEU 31</t>
  </si>
  <si>
    <t>VIREMENT 640 LA PROVIDENCE</t>
  </si>
  <si>
    <t>TOTAL  SAISON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</si>
</sst>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5" formatCode="#,##0\ &quot;€&quot;_);\(#,##0\ &quot;€&quot;\)"/>
    <numFmt numFmtId="42" formatCode="_ * #,##0_)\ &quot;€&quot;_ ;_ * \(#,##0\)\ &quot;€&quot;_ ;_ * &quot;-&quot;_)\ &quot;€&quot;_ ;_ @_ "/>
    <numFmt numFmtId="44" formatCode="_ * #,##0.00_)\ &quot;€&quot;_ ;_ * \(#,##0.00\)\ &quot;€&quot;_ ;_ * &quot;-&quot;??_)\ &quot;€&quot;_ ;_ @_ "/>
    <numFmt numFmtId="164" formatCode="#,##0\ &quot;€&quot;;[Red]\-#,##0\ &quot;€&quot;"/>
    <numFmt numFmtId="165" formatCode="_-* #,##0.00\ &quot;€&quot;_-;\-* #,##0.00\ &quot;€&quot;_-;_-* &quot;-&quot;??\ &quot;€&quot;_-;_-@_-"/>
    <numFmt numFmtId="166" formatCode="[$-40C]mmmm\-yy;@"/>
    <numFmt numFmtId="167" formatCode="_-* #,##0\ [$€-40C]_-;\-* #,##0\ [$€-40C]_-;_-* &quot;-&quot;??\ [$€-40C]_-;_-@_-"/>
    <numFmt numFmtId="168" formatCode="_-* #,##0.0\ &quot;€&quot;_-;\-* #,##0.0\ &quot;€&quot;_-;_-* &quot;-&quot;??\ &quot;€&quot;_-;_-@_-"/>
    <numFmt numFmtId="169" formatCode="_-* #,##0\ &quot;€&quot;_-;\-* #,##0\ &quot;€&quot;_-;_-* &quot;-&quot;??\ &quot;€&quot;_-;_-@_-"/>
    <numFmt numFmtId="170" formatCode="#,##0\ &quot;€&quot;"/>
    <numFmt numFmtId="171" formatCode="_-* #,##0.00\ [$€-40C]_-;\-* #,##0.00\ [$€-40C]_-;_-* &quot;-&quot;??\ [$€-40C]_-;_-@_-"/>
    <numFmt numFmtId="172" formatCode="_-* #,##0\ [$€-40C]_-;\-* #,##0\ [$€-40C]_-;_-* &quot;-&quot;\ [$€-40C]_-;_-@_-"/>
    <numFmt numFmtId="173" formatCode="#,##0\ [$€-40C]"/>
    <numFmt numFmtId="174" formatCode="&quot;£&quot;#,##0"/>
    <numFmt numFmtId="175" formatCode="#,##0\ [$€-40C];\-#,##0\ [$€-40C]"/>
    <numFmt numFmtId="176" formatCode="#,##0\ &quot;€&quot;;[Red]#,##0\ &quot;€&quot;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20"/>
      <color rgb="FF2066F3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20"/>
      <color rgb="FF0083E9"/>
      <name val="Calibri"/>
      <family val="2"/>
      <scheme val="minor"/>
    </font>
    <font>
      <sz val="10"/>
      <color theme="3" tint="0.24994659260841701"/>
      <name val="Calibri"/>
      <family val="2"/>
      <scheme val="minor"/>
    </font>
    <font>
      <sz val="10"/>
      <color theme="4"/>
      <name val="Calibri Light"/>
      <family val="2"/>
      <scheme val="major"/>
    </font>
    <font>
      <sz val="13"/>
      <color theme="3" tint="0.24994659260841701"/>
      <name val="Calibri Light"/>
      <family val="2"/>
      <scheme val="major"/>
    </font>
    <font>
      <sz val="24"/>
      <color theme="3" tint="0.24994659260841701"/>
      <name val="Calibri"/>
      <family val="2"/>
      <scheme val="minor"/>
    </font>
    <font>
      <sz val="20"/>
      <color theme="0"/>
      <name val="Calibri Light"/>
      <family val="2"/>
      <scheme val="major"/>
    </font>
    <font>
      <b/>
      <sz val="20"/>
      <color rgb="FFF172E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7FBA4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9.9948118533890809E-2"/>
        <bgColor indexed="64"/>
      </patternFill>
    </fill>
  </fills>
  <borders count="6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thin">
        <color theme="2" tint="-0.24994659260841701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7" fillId="0" borderId="1" applyNumberFormat="0" applyFill="0" applyAlignment="0" applyProtection="0"/>
    <xf numFmtId="0" fontId="16" fillId="3" borderId="0"/>
    <xf numFmtId="0" fontId="17" fillId="3" borderId="5" applyNumberFormat="0" applyAlignment="0" applyProtection="0"/>
    <xf numFmtId="0" fontId="18" fillId="3" borderId="0" applyNumberFormat="0" applyProtection="0">
      <alignment horizontal="left"/>
    </xf>
    <xf numFmtId="174" fontId="19" fillId="3" borderId="0" applyAlignment="0" applyProtection="0"/>
    <xf numFmtId="0" fontId="20" fillId="4" borderId="0" applyNumberFormat="0" applyBorder="0" applyProtection="0">
      <alignment horizontal="left" vertical="center"/>
    </xf>
  </cellStyleXfs>
  <cellXfs count="67">
    <xf numFmtId="0" fontId="0" fillId="0" borderId="0" xfId="0"/>
    <xf numFmtId="167" fontId="3" fillId="0" borderId="0" xfId="0" applyNumberFormat="1" applyFont="1"/>
    <xf numFmtId="168" fontId="3" fillId="0" borderId="0" xfId="1" applyNumberFormat="1" applyFont="1"/>
    <xf numFmtId="169" fontId="3" fillId="0" borderId="0" xfId="1" applyNumberFormat="1" applyFont="1"/>
    <xf numFmtId="17" fontId="5" fillId="0" borderId="0" xfId="0" applyNumberFormat="1" applyFont="1"/>
    <xf numFmtId="166" fontId="5" fillId="0" borderId="0" xfId="0" applyNumberFormat="1" applyFont="1"/>
    <xf numFmtId="170" fontId="3" fillId="0" borderId="0" xfId="0" applyNumberFormat="1" applyFont="1"/>
    <xf numFmtId="0" fontId="3" fillId="0" borderId="0" xfId="0" applyFont="1"/>
    <xf numFmtId="17" fontId="6" fillId="0" borderId="0" xfId="0" applyNumberFormat="1" applyFont="1"/>
    <xf numFmtId="167" fontId="8" fillId="0" borderId="0" xfId="0" applyNumberFormat="1" applyFont="1"/>
    <xf numFmtId="0" fontId="9" fillId="0" borderId="0" xfId="0" applyFont="1"/>
    <xf numFmtId="167" fontId="9" fillId="0" borderId="0" xfId="0" applyNumberFormat="1" applyFont="1"/>
    <xf numFmtId="0" fontId="10" fillId="0" borderId="0" xfId="0" applyFont="1"/>
    <xf numFmtId="172" fontId="3" fillId="0" borderId="0" xfId="0" applyNumberFormat="1" applyFont="1"/>
    <xf numFmtId="167" fontId="11" fillId="0" borderId="0" xfId="0" applyNumberFormat="1" applyFont="1"/>
    <xf numFmtId="42" fontId="3" fillId="0" borderId="0" xfId="0" applyNumberFormat="1" applyFont="1"/>
    <xf numFmtId="173" fontId="3" fillId="0" borderId="0" xfId="0" applyNumberFormat="1" applyFont="1"/>
    <xf numFmtId="170" fontId="12" fillId="0" borderId="0" xfId="0" applyNumberFormat="1" applyFont="1"/>
    <xf numFmtId="5" fontId="3" fillId="0" borderId="0" xfId="0" applyNumberFormat="1" applyFont="1"/>
    <xf numFmtId="0" fontId="5" fillId="0" borderId="0" xfId="0" applyFont="1"/>
    <xf numFmtId="170" fontId="3" fillId="0" borderId="0" xfId="0" applyNumberFormat="1" applyFont="1" applyProtection="1">
      <protection locked="0"/>
    </xf>
    <xf numFmtId="170" fontId="12" fillId="0" borderId="0" xfId="0" applyNumberFormat="1" applyFont="1" applyProtection="1">
      <protection locked="0"/>
    </xf>
    <xf numFmtId="5" fontId="12" fillId="0" borderId="0" xfId="0" applyNumberFormat="1" applyFont="1"/>
    <xf numFmtId="170" fontId="5" fillId="0" borderId="0" xfId="0" applyNumberFormat="1" applyFont="1"/>
    <xf numFmtId="170" fontId="11" fillId="0" borderId="0" xfId="0" applyNumberFormat="1" applyFont="1"/>
    <xf numFmtId="170" fontId="8" fillId="0" borderId="0" xfId="0" applyNumberFormat="1" applyFont="1"/>
    <xf numFmtId="5" fontId="11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11" fillId="0" borderId="0" xfId="0" applyFont="1"/>
    <xf numFmtId="170" fontId="11" fillId="0" borderId="0" xfId="0" applyNumberFormat="1" applyFont="1" applyAlignment="1">
      <alignment horizontal="right"/>
    </xf>
    <xf numFmtId="170" fontId="3" fillId="0" borderId="4" xfId="0" applyNumberFormat="1" applyFont="1" applyBorder="1"/>
    <xf numFmtId="167" fontId="3" fillId="0" borderId="4" xfId="0" applyNumberFormat="1" applyFont="1" applyBorder="1"/>
    <xf numFmtId="9" fontId="13" fillId="0" borderId="1" xfId="2" applyNumberFormat="1" applyFont="1" applyAlignment="1">
      <alignment wrapText="1"/>
    </xf>
    <xf numFmtId="0" fontId="5" fillId="0" borderId="0" xfId="0" applyFont="1" applyAlignment="1">
      <alignment horizontal="right"/>
    </xf>
    <xf numFmtId="0" fontId="14" fillId="2" borderId="0" xfId="0" applyFont="1" applyFill="1"/>
    <xf numFmtId="0" fontId="5" fillId="2" borderId="0" xfId="0" applyFont="1" applyFill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15" fillId="0" borderId="0" xfId="0" applyFont="1"/>
    <xf numFmtId="170" fontId="5" fillId="0" borderId="0" xfId="0" applyNumberFormat="1" applyFont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5" fillId="0" borderId="3" xfId="0" applyFont="1" applyBorder="1"/>
    <xf numFmtId="44" fontId="5" fillId="0" borderId="0" xfId="0" applyNumberFormat="1" applyFont="1"/>
    <xf numFmtId="171" fontId="5" fillId="0" borderId="0" xfId="0" applyNumberFormat="1" applyFont="1"/>
    <xf numFmtId="0" fontId="5" fillId="0" borderId="0" xfId="0" applyFont="1" applyAlignment="1">
      <alignment horizontal="center"/>
    </xf>
    <xf numFmtId="5" fontId="5" fillId="0" borderId="0" xfId="0" applyNumberFormat="1" applyFont="1"/>
    <xf numFmtId="5" fontId="3" fillId="0" borderId="4" xfId="0" applyNumberFormat="1" applyFont="1" applyBorder="1"/>
    <xf numFmtId="173" fontId="21" fillId="0" borderId="0" xfId="0" applyNumberFormat="1" applyFont="1"/>
    <xf numFmtId="5" fontId="21" fillId="0" borderId="0" xfId="0" applyNumberFormat="1" applyFont="1"/>
    <xf numFmtId="170" fontId="21" fillId="0" borderId="0" xfId="0" applyNumberFormat="1" applyFont="1"/>
    <xf numFmtId="1" fontId="3" fillId="0" borderId="0" xfId="0" applyNumberFormat="1" applyFont="1"/>
    <xf numFmtId="170" fontId="3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167" fontId="23" fillId="0" borderId="0" xfId="0" applyNumberFormat="1" applyFont="1" applyAlignment="1">
      <alignment horizontal="center"/>
    </xf>
    <xf numFmtId="167" fontId="23" fillId="0" borderId="0" xfId="0" applyNumberFormat="1" applyFont="1"/>
    <xf numFmtId="175" fontId="3" fillId="0" borderId="0" xfId="0" applyNumberFormat="1" applyFont="1"/>
    <xf numFmtId="175" fontId="24" fillId="0" borderId="0" xfId="0" applyNumberFormat="1" applyFont="1"/>
    <xf numFmtId="176" fontId="24" fillId="0" borderId="0" xfId="0" applyNumberFormat="1" applyFont="1"/>
    <xf numFmtId="170" fontId="8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 wrapText="1"/>
    </xf>
    <xf numFmtId="9" fontId="5" fillId="0" borderId="0" xfId="0" applyNumberFormat="1" applyFont="1" applyAlignment="1">
      <alignment horizontal="right" wrapText="1"/>
    </xf>
  </cellXfs>
  <cellStyles count="8">
    <cellStyle name="Monétaire" xfId="1" builtinId="4"/>
    <cellStyle name="Normal" xfId="0" builtinId="0"/>
    <cellStyle name="Normal 2" xfId="3" xr:uid="{0245B053-196E-F448-B29D-B172381F6238}"/>
    <cellStyle name="Titre 1" xfId="2" builtinId="16"/>
    <cellStyle name="Titre 1 2" xfId="5" xr:uid="{ED37BF40-79DE-7D4C-A773-48DF8B1F17D8}"/>
    <cellStyle name="Titre 2 2" xfId="4" xr:uid="{51D03A68-B8DF-384B-9F69-244C1DC66181}"/>
    <cellStyle name="Titre 3 2" xfId="6" xr:uid="{597B6A6F-3ACC-1F41-928A-AD8160F43901}"/>
    <cellStyle name="Titre 5" xfId="7" xr:uid="{871B14EE-C8C0-844C-A7A1-FC86BF0FDE29}"/>
  </cellStyles>
  <dxfs count="3"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start/>
        <end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start/>
        <end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Table Budget personnel" pivot="0" count="3" xr9:uid="{047C94D6-A7FE-B842-8A8A-CD393524AC69}">
      <tableStyleElement type="wholeTable" dxfId="2"/>
      <tableStyleElement type="headerRow" dxfId="1"/>
      <tableStyleElement type="totalRow" dxfId="0"/>
    </tableStyle>
  </tableStyles>
  <colors>
    <mruColors>
      <color rgb="FF00FF00"/>
      <color rgb="FFF172E2"/>
      <color rgb="FF2066F3"/>
      <color rgb="FF0083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personnel1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Mois en cours"/>
      <sheetName val="Feuil1"/>
      <sheetName val="Données du graphique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purl.oclc.org/ooxml/drawingml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R62"/>
  <sheetViews>
    <sheetView showRuler="0" topLeftCell="NJ1" zoomScale="75" zoomScaleNormal="75" zoomScalePageLayoutView="150" workbookViewId="0">
      <selection activeCell="ON17" sqref="ON17"/>
    </sheetView>
  </sheetViews>
  <sheetFormatPr baseColWidth="10" defaultColWidth="10.83203125" defaultRowHeight="26" x14ac:dyDescent="0.3"/>
  <cols>
    <col min="1" max="1" width="11" style="34" bestFit="1" customWidth="1"/>
    <col min="2" max="2" width="10.83203125" style="19"/>
    <col min="3" max="3" width="15.6640625" style="19" customWidth="1"/>
    <col min="4" max="4" width="10.83203125" style="19"/>
    <col min="5" max="5" width="17.83203125" style="19" bestFit="1" customWidth="1"/>
    <col min="6" max="7" width="10.83203125" style="19"/>
    <col min="8" max="8" width="11" style="19" bestFit="1" customWidth="1"/>
    <col min="9" max="9" width="10.83203125" style="19"/>
    <col min="10" max="10" width="12.1640625" style="19" bestFit="1" customWidth="1"/>
    <col min="11" max="11" width="10.83203125" style="19"/>
    <col min="12" max="12" width="11" style="19" bestFit="1" customWidth="1"/>
    <col min="13" max="13" width="10.83203125" style="35"/>
    <col min="14" max="14" width="11" style="19" bestFit="1" customWidth="1"/>
    <col min="15" max="15" width="10.83203125" style="19"/>
    <col min="16" max="16" width="13" style="19" customWidth="1"/>
    <col min="17" max="17" width="10.83203125" style="19"/>
    <col min="18" max="18" width="15.6640625" style="19" customWidth="1"/>
    <col min="19" max="21" width="10.83203125" style="19"/>
    <col min="22" max="22" width="11.5" style="19" bestFit="1" customWidth="1"/>
    <col min="23" max="23" width="14" style="19" customWidth="1"/>
    <col min="24" max="24" width="10.83203125" style="19"/>
    <col min="25" max="25" width="14.6640625" style="19" customWidth="1"/>
    <col min="26" max="29" width="10.83203125" style="19"/>
    <col min="30" max="30" width="14.1640625" style="19" customWidth="1"/>
    <col min="31" max="31" width="11" style="19" bestFit="1" customWidth="1"/>
    <col min="32" max="32" width="14" style="19" bestFit="1" customWidth="1"/>
    <col min="33" max="36" width="10.83203125" style="19"/>
    <col min="37" max="37" width="15.5" style="19" customWidth="1"/>
    <col min="38" max="38" width="10.83203125" style="19"/>
    <col min="39" max="39" width="14" customWidth="1"/>
    <col min="40" max="40" width="10.83203125" style="36"/>
    <col min="41" max="42" width="10.83203125" style="19"/>
    <col min="43" max="43" width="13.1640625" style="19" bestFit="1" customWidth="1"/>
    <col min="44" max="44" width="10.83203125" style="19"/>
    <col min="45" max="45" width="15.1640625" style="19" customWidth="1"/>
    <col min="46" max="46" width="10.83203125" style="19"/>
    <col min="47" max="47" width="10.83203125" style="34"/>
    <col min="48" max="48" width="11.5" style="7" bestFit="1" customWidth="1"/>
    <col min="49" max="49" width="11.33203125" style="19" bestFit="1" customWidth="1"/>
    <col min="50" max="50" width="11.6640625" style="19" bestFit="1" customWidth="1"/>
    <col min="51" max="51" width="10.83203125" style="19"/>
    <col min="52" max="52" width="10.83203125" style="34"/>
    <col min="53" max="53" width="11.1640625" style="37" bestFit="1" customWidth="1"/>
    <col min="54" max="54" width="11.1640625" style="19" bestFit="1" customWidth="1"/>
    <col min="55" max="55" width="10.83203125" style="19"/>
    <col min="56" max="56" width="13.33203125" style="19" customWidth="1"/>
    <col min="57" max="58" width="10.83203125" style="19"/>
    <col min="59" max="59" width="11.1640625" style="19" bestFit="1" customWidth="1"/>
    <col min="60" max="60" width="12.6640625" style="19" bestFit="1" customWidth="1"/>
    <col min="61" max="61" width="10.83203125" style="19"/>
    <col min="62" max="62" width="13.1640625" style="19" bestFit="1" customWidth="1"/>
    <col min="63" max="64" width="10.83203125" style="19"/>
    <col min="65" max="65" width="11" style="19" bestFit="1" customWidth="1"/>
    <col min="66" max="66" width="12.1640625" style="19" bestFit="1" customWidth="1"/>
    <col min="67" max="67" width="10.83203125" style="19"/>
    <col min="68" max="68" width="15.6640625" style="19" customWidth="1"/>
    <col min="69" max="69" width="10.83203125" style="36"/>
    <col min="70" max="70" width="10.83203125" style="19"/>
    <col min="71" max="71" width="13.1640625" style="19" customWidth="1"/>
    <col min="72" max="72" width="15.6640625" style="19" customWidth="1"/>
    <col min="73" max="73" width="11" style="19" bestFit="1" customWidth="1"/>
    <col min="74" max="74" width="13.6640625" style="19" customWidth="1"/>
    <col min="75" max="77" width="11" style="19" bestFit="1" customWidth="1"/>
    <col min="78" max="78" width="11.5" style="19" bestFit="1" customWidth="1"/>
    <col min="79" max="79" width="13" style="19" bestFit="1" customWidth="1"/>
    <col min="80" max="80" width="15.1640625" style="19" customWidth="1"/>
    <col min="81" max="81" width="10.83203125" style="19"/>
    <col min="82" max="84" width="11" style="19" bestFit="1" customWidth="1"/>
    <col min="85" max="85" width="11.1640625" style="19" customWidth="1"/>
    <col min="86" max="86" width="16" style="19" customWidth="1"/>
    <col min="87" max="88" width="10.83203125" style="19"/>
    <col min="89" max="89" width="11" style="19" bestFit="1" customWidth="1"/>
    <col min="90" max="90" width="15.1640625" style="19" bestFit="1" customWidth="1"/>
    <col min="91" max="92" width="10.83203125" style="19"/>
    <col min="93" max="93" width="11" style="19" bestFit="1" customWidth="1"/>
    <col min="94" max="94" width="15.1640625" style="19" bestFit="1" customWidth="1"/>
    <col min="95" max="95" width="11" style="19" bestFit="1" customWidth="1"/>
    <col min="96" max="96" width="13.6640625" style="19" customWidth="1"/>
    <col min="97" max="98" width="10.83203125" style="19"/>
    <col min="99" max="99" width="11" style="19" bestFit="1" customWidth="1"/>
    <col min="100" max="100" width="11.83203125" style="19" customWidth="1"/>
    <col min="101" max="101" width="10.83203125" style="19"/>
    <col min="102" max="102" width="11" style="19" bestFit="1" customWidth="1"/>
    <col min="103" max="103" width="10.83203125" style="19"/>
    <col min="104" max="104" width="10.83203125" style="36"/>
    <col min="105" max="105" width="10.83203125" style="19"/>
    <col min="106" max="106" width="11" style="19" bestFit="1" customWidth="1"/>
    <col min="107" max="107" width="20.5" style="19" customWidth="1"/>
    <col min="108" max="108" width="10.83203125" style="19"/>
    <col min="109" max="109" width="13.6640625" style="19" customWidth="1"/>
    <col min="110" max="111" width="10.83203125" style="19"/>
    <col min="112" max="112" width="11" style="19" bestFit="1" customWidth="1"/>
    <col min="113" max="113" width="15.1640625" style="19" bestFit="1" customWidth="1"/>
    <col min="114" max="114" width="13" style="19" bestFit="1" customWidth="1"/>
    <col min="115" max="117" width="11" style="19" bestFit="1" customWidth="1"/>
    <col min="118" max="118" width="15.1640625" style="19" bestFit="1" customWidth="1"/>
    <col min="119" max="119" width="11.1640625" style="19" customWidth="1"/>
    <col min="120" max="120" width="16.6640625" style="19" customWidth="1"/>
    <col min="121" max="121" width="11" style="19" bestFit="1" customWidth="1"/>
    <col min="122" max="122" width="10.83203125" style="19"/>
    <col min="123" max="123" width="11" style="19" bestFit="1" customWidth="1"/>
    <col min="124" max="124" width="15.1640625" style="19" bestFit="1" customWidth="1"/>
    <col min="125" max="125" width="11" style="19" bestFit="1" customWidth="1"/>
    <col min="126" max="126" width="15.1640625" style="19" customWidth="1"/>
    <col min="127" max="128" width="10.83203125" style="19"/>
    <col min="129" max="129" width="11" style="19" bestFit="1" customWidth="1"/>
    <col min="130" max="130" width="15.1640625" style="19" bestFit="1" customWidth="1"/>
    <col min="131" max="131" width="11" style="19" bestFit="1" customWidth="1"/>
    <col min="132" max="132" width="17.5" style="19" customWidth="1"/>
    <col min="133" max="134" width="10.83203125" style="19"/>
    <col min="135" max="135" width="11" style="19" bestFit="1" customWidth="1"/>
    <col min="136" max="136" width="11.83203125" style="19" customWidth="1"/>
    <col min="137" max="137" width="10.83203125" style="19"/>
    <col min="138" max="138" width="11" style="19" bestFit="1" customWidth="1"/>
    <col min="139" max="139" width="10.83203125" style="19"/>
    <col min="140" max="140" width="10.83203125" style="36" customWidth="1"/>
    <col min="141" max="141" width="10.83203125" style="19"/>
    <col min="142" max="142" width="11" style="19" bestFit="1" customWidth="1"/>
    <col min="143" max="143" width="20.5" style="19" customWidth="1"/>
    <col min="144" max="144" width="10.83203125" style="19"/>
    <col min="145" max="145" width="13.6640625" style="19" customWidth="1"/>
    <col min="146" max="147" width="10.83203125" style="19"/>
    <col min="148" max="148" width="11" style="19" bestFit="1" customWidth="1"/>
    <col min="149" max="149" width="15.1640625" style="19" bestFit="1" customWidth="1"/>
    <col min="150" max="150" width="12.83203125" style="19" bestFit="1" customWidth="1"/>
    <col min="151" max="151" width="15.1640625" style="19" customWidth="1"/>
    <col min="152" max="153" width="10.83203125" style="19"/>
    <col min="154" max="154" width="11" style="19" bestFit="1" customWidth="1"/>
    <col min="155" max="155" width="15.1640625" style="19" bestFit="1" customWidth="1"/>
    <col min="156" max="156" width="11.1640625" style="19" customWidth="1"/>
    <col min="157" max="157" width="14.6640625" style="19" customWidth="1"/>
    <col min="158" max="159" width="10.83203125" style="19"/>
    <col min="160" max="160" width="11" style="19" bestFit="1" customWidth="1"/>
    <col min="161" max="161" width="15.1640625" style="19" bestFit="1" customWidth="1"/>
    <col min="162" max="162" width="10.83203125" style="19"/>
    <col min="163" max="163" width="15.1640625" style="19" customWidth="1"/>
    <col min="164" max="165" width="10.83203125" style="19"/>
    <col min="166" max="166" width="11" style="19" bestFit="1" customWidth="1"/>
    <col min="167" max="167" width="15.1640625" style="19" bestFit="1" customWidth="1"/>
    <col min="168" max="168" width="11" style="19" bestFit="1" customWidth="1"/>
    <col min="169" max="169" width="17.5" style="19" customWidth="1"/>
    <col min="170" max="171" width="10.83203125" style="19"/>
    <col min="172" max="172" width="11" style="19" bestFit="1" customWidth="1"/>
    <col min="173" max="173" width="13.6640625" style="19" customWidth="1"/>
    <col min="174" max="174" width="11" style="19" bestFit="1" customWidth="1"/>
    <col min="175" max="175" width="16.6640625" style="19" bestFit="1" customWidth="1"/>
    <col min="176" max="177" width="10.83203125" style="19"/>
    <col min="178" max="178" width="11" style="19" bestFit="1" customWidth="1"/>
    <col min="179" max="179" width="15.1640625" style="19" bestFit="1" customWidth="1"/>
    <col min="180" max="180" width="11" style="19" bestFit="1" customWidth="1"/>
    <col min="181" max="181" width="15.1640625" style="19" customWidth="1"/>
    <col min="182" max="183" width="10.83203125" style="19"/>
    <col min="184" max="184" width="11" style="19" bestFit="1" customWidth="1"/>
    <col min="185" max="185" width="15.1640625" style="19" bestFit="1" customWidth="1"/>
    <col min="186" max="186" width="10.83203125" style="19"/>
    <col min="187" max="187" width="17.5" style="19" customWidth="1"/>
    <col min="188" max="188" width="10.83203125" style="19"/>
    <col min="189" max="189" width="10.83203125" style="36"/>
    <col min="190" max="190" width="10.83203125" style="19"/>
    <col min="191" max="191" width="11" style="19" bestFit="1" customWidth="1"/>
    <col min="192" max="192" width="20.5" style="19" customWidth="1"/>
    <col min="193" max="193" width="10.83203125" style="19"/>
    <col min="194" max="194" width="13.6640625" style="19" customWidth="1"/>
    <col min="195" max="196" width="10.83203125" style="19"/>
    <col min="197" max="197" width="11" style="19" bestFit="1" customWidth="1"/>
    <col min="198" max="198" width="15.5" style="19" bestFit="1" customWidth="1"/>
    <col min="199" max="199" width="12.83203125" style="19" bestFit="1" customWidth="1"/>
    <col min="200" max="200" width="15.1640625" style="19" customWidth="1"/>
    <col min="201" max="202" width="10.83203125" style="19"/>
    <col min="203" max="203" width="11" style="19" bestFit="1" customWidth="1"/>
    <col min="204" max="204" width="15.1640625" style="19" bestFit="1" customWidth="1"/>
    <col min="205" max="205" width="11.33203125" style="19" customWidth="1"/>
    <col min="206" max="206" width="14.6640625" style="19" customWidth="1"/>
    <col min="207" max="208" width="10.83203125" style="19"/>
    <col min="209" max="209" width="11" style="19" bestFit="1" customWidth="1"/>
    <col min="210" max="210" width="15.6640625" style="19" bestFit="1" customWidth="1"/>
    <col min="211" max="211" width="10.83203125" style="19"/>
    <col min="212" max="212" width="17.33203125" style="19" customWidth="1"/>
    <col min="213" max="214" width="10.83203125" style="19"/>
    <col min="215" max="215" width="11" style="19" bestFit="1" customWidth="1"/>
    <col min="216" max="216" width="15.6640625" style="19" bestFit="1" customWidth="1"/>
    <col min="217" max="217" width="12" style="19" bestFit="1" customWidth="1"/>
    <col min="218" max="218" width="17.5" style="19" customWidth="1"/>
    <col min="219" max="220" width="10.83203125" style="19"/>
    <col min="221" max="221" width="11" style="19" bestFit="1" customWidth="1"/>
    <col min="222" max="222" width="16.6640625" style="19" customWidth="1"/>
    <col min="223" max="223" width="10.83203125" style="19"/>
    <col min="224" max="224" width="16.6640625" style="19" bestFit="1" customWidth="1"/>
    <col min="225" max="226" width="10.83203125" style="19"/>
    <col min="227" max="227" width="11" style="19" bestFit="1" customWidth="1"/>
    <col min="228" max="228" width="19.1640625" style="19" customWidth="1"/>
    <col min="229" max="229" width="10.83203125" style="19"/>
    <col min="230" max="230" width="16.6640625" style="19" customWidth="1"/>
    <col min="231" max="232" width="10.83203125" style="19"/>
    <col min="233" max="233" width="11" style="19" bestFit="1" customWidth="1"/>
    <col min="234" max="234" width="15.5" style="19" bestFit="1" customWidth="1"/>
    <col min="235" max="235" width="10.83203125" style="19"/>
    <col min="236" max="236" width="17.5" style="19" customWidth="1"/>
    <col min="237" max="237" width="10.83203125" style="19"/>
    <col min="238" max="238" width="10.83203125" style="36"/>
    <col min="239" max="239" width="12.33203125" style="19" customWidth="1"/>
    <col min="240" max="240" width="10.83203125" style="19"/>
    <col min="241" max="241" width="12.6640625" style="19" customWidth="1"/>
    <col min="242" max="244" width="10.83203125" style="19"/>
    <col min="245" max="245" width="17.83203125" style="19" customWidth="1"/>
    <col min="246" max="246" width="17" style="19" bestFit="1" customWidth="1"/>
    <col min="247" max="247" width="10.83203125" style="19"/>
    <col min="248" max="248" width="14.1640625" style="19" customWidth="1"/>
    <col min="249" max="250" width="10.83203125" style="19"/>
    <col min="251" max="251" width="11" style="19" bestFit="1" customWidth="1"/>
    <col min="252" max="252" width="13.5" style="19" customWidth="1"/>
    <col min="253" max="253" width="10.83203125" style="19"/>
    <col min="254" max="254" width="14.1640625" style="19" customWidth="1"/>
    <col min="255" max="256" width="10.83203125" style="19"/>
    <col min="257" max="257" width="11" style="19" bestFit="1" customWidth="1"/>
    <col min="258" max="258" width="11.5" style="19" bestFit="1" customWidth="1"/>
    <col min="259" max="259" width="10.83203125" style="19"/>
    <col min="260" max="260" width="15" style="19" customWidth="1"/>
    <col min="261" max="261" width="11" style="19" customWidth="1"/>
    <col min="262" max="262" width="10.83203125" style="19"/>
    <col min="263" max="263" width="11" style="19" bestFit="1" customWidth="1"/>
    <col min="264" max="264" width="13.1640625" style="19" bestFit="1" customWidth="1"/>
    <col min="265" max="265" width="10.83203125" style="19"/>
    <col min="266" max="266" width="15.6640625" style="19" customWidth="1"/>
    <col min="267" max="267" width="10.83203125" style="19"/>
    <col min="268" max="268" width="10.83203125" style="19" customWidth="1"/>
    <col min="269" max="269" width="11" style="19" customWidth="1"/>
    <col min="270" max="270" width="17.83203125" style="19" customWidth="1"/>
    <col min="271" max="271" width="10.83203125" style="19"/>
    <col min="272" max="272" width="15.6640625" style="19" customWidth="1"/>
    <col min="273" max="274" width="10.83203125" style="19"/>
    <col min="275" max="275" width="11" style="19" bestFit="1" customWidth="1"/>
    <col min="276" max="276" width="12.6640625" style="19" customWidth="1"/>
    <col min="277" max="277" width="10.83203125" style="19"/>
    <col min="278" max="278" width="15.1640625" style="19" customWidth="1"/>
    <col min="279" max="280" width="10.83203125" style="19"/>
    <col min="281" max="282" width="11" style="19" bestFit="1" customWidth="1"/>
    <col min="283" max="283" width="10.83203125" style="19"/>
    <col min="284" max="284" width="13.1640625" style="19" customWidth="1"/>
    <col min="285" max="285" width="10.83203125" style="19"/>
    <col min="286" max="286" width="10.83203125" style="36"/>
    <col min="287" max="288" width="10.83203125" style="19"/>
    <col min="289" max="289" width="14.1640625" style="19" customWidth="1"/>
    <col min="290" max="290" width="10.83203125" style="19"/>
    <col min="291" max="291" width="15" style="19" customWidth="1"/>
    <col min="292" max="295" width="10.83203125" style="19"/>
    <col min="296" max="296" width="13.1640625" style="19" customWidth="1"/>
    <col min="297" max="297" width="10.83203125" style="19"/>
    <col min="298" max="298" width="13.33203125" style="19" customWidth="1"/>
    <col min="299" max="301" width="10.83203125" style="19"/>
    <col min="302" max="302" width="11.33203125" style="19" bestFit="1" customWidth="1"/>
    <col min="303" max="303" width="10.83203125" style="19"/>
    <col min="304" max="304" width="13.6640625" style="19" customWidth="1"/>
    <col min="305" max="307" width="10.83203125" style="19"/>
    <col min="308" max="308" width="14.1640625" style="19" customWidth="1"/>
    <col min="309" max="309" width="10.83203125" style="19"/>
    <col min="310" max="310" width="15.5" style="19" customWidth="1"/>
    <col min="311" max="313" width="10.83203125" style="19"/>
    <col min="314" max="314" width="11" style="19" bestFit="1" customWidth="1"/>
    <col min="315" max="315" width="10.83203125" style="19"/>
    <col min="316" max="316" width="16.6640625" style="19" customWidth="1"/>
    <col min="317" max="319" width="10.83203125" style="19"/>
    <col min="320" max="320" width="13.6640625" style="19" customWidth="1"/>
    <col min="321" max="321" width="10.83203125" style="19"/>
    <col min="322" max="322" width="15.6640625" style="19" customWidth="1"/>
    <col min="323" max="325" width="10.83203125" style="19"/>
    <col min="326" max="326" width="15" style="19" customWidth="1"/>
    <col min="327" max="327" width="10.83203125" style="19"/>
    <col min="328" max="328" width="16.6640625" style="19" customWidth="1"/>
    <col min="329" max="331" width="10.83203125" style="19"/>
    <col min="332" max="332" width="11.1640625" style="19" customWidth="1"/>
    <col min="333" max="333" width="10.83203125" style="19"/>
    <col min="334" max="334" width="14.1640625" style="19" customWidth="1"/>
    <col min="335" max="338" width="10.83203125" style="19"/>
    <col min="339" max="339" width="17" style="19" customWidth="1"/>
    <col min="340" max="340" width="10.83203125" style="19"/>
    <col min="341" max="341" width="14.1640625" style="19" customWidth="1"/>
    <col min="342" max="345" width="10.83203125" style="19"/>
    <col min="346" max="346" width="13" style="19" customWidth="1"/>
    <col min="347" max="347" width="10.83203125" style="19"/>
    <col min="348" max="348" width="13.5" style="19" customWidth="1"/>
    <col min="349" max="351" width="10.83203125" style="19"/>
    <col min="352" max="352" width="11" style="19" bestFit="1" customWidth="1"/>
    <col min="353" max="353" width="10.83203125" style="19"/>
    <col min="354" max="354" width="13.5" style="19" customWidth="1"/>
    <col min="355" max="357" width="10.83203125" style="19"/>
    <col min="358" max="358" width="14.1640625" style="19" customWidth="1"/>
    <col min="359" max="359" width="27.1640625" style="19" customWidth="1"/>
    <col min="360" max="360" width="41.5" style="19" customWidth="1"/>
    <col min="361" max="365" width="10.83203125" style="19"/>
    <col min="366" max="366" width="14.6640625" style="19" customWidth="1"/>
    <col min="367" max="369" width="10.83203125" style="19"/>
    <col min="370" max="370" width="13" style="19" customWidth="1"/>
    <col min="371" max="371" width="21.5" style="19" bestFit="1" customWidth="1"/>
    <col min="372" max="372" width="14" style="19" customWidth="1"/>
    <col min="373" max="375" width="10.83203125" style="19"/>
    <col min="376" max="376" width="13.6640625" style="19" customWidth="1"/>
    <col min="377" max="377" width="10.83203125" style="19"/>
    <col min="378" max="378" width="15" style="19" customWidth="1"/>
    <col min="379" max="383" width="10.83203125" style="19"/>
    <col min="384" max="384" width="14.1640625" style="19" customWidth="1"/>
    <col min="385" max="388" width="10.83203125" style="19"/>
    <col min="389" max="389" width="16.5" style="19" customWidth="1"/>
    <col min="390" max="390" width="10.83203125" style="19"/>
    <col min="391" max="391" width="13.6640625" style="19" customWidth="1"/>
    <col min="392" max="397" width="10.83203125" style="19"/>
    <col min="398" max="398" width="13.6640625" style="19" customWidth="1"/>
    <col min="399" max="400" width="10.83203125" style="19"/>
    <col min="401" max="401" width="10.83203125" style="37"/>
    <col min="402" max="403" width="10.83203125" style="19"/>
    <col min="404" max="404" width="19.83203125" style="19" customWidth="1"/>
    <col min="405" max="407" width="10.83203125" style="19"/>
    <col min="408" max="408" width="13.5" style="19" customWidth="1"/>
    <col min="409" max="409" width="15" style="19" customWidth="1"/>
    <col min="410" max="414" width="10.83203125" style="19"/>
    <col min="415" max="415" width="19.6640625" style="19" bestFit="1" customWidth="1"/>
    <col min="416" max="416" width="15.6640625" style="19" customWidth="1"/>
    <col min="417" max="419" width="10.83203125" style="19"/>
    <col min="420" max="420" width="14.6640625" style="19" customWidth="1"/>
    <col min="421" max="421" width="10.83203125" style="19"/>
    <col min="422" max="422" width="14.1640625" style="19" customWidth="1"/>
    <col min="423" max="425" width="10.83203125" style="19"/>
    <col min="426" max="426" width="16.1640625" style="19" customWidth="1"/>
    <col min="427" max="427" width="10.83203125" style="19"/>
    <col min="428" max="428" width="14.6640625" style="19" customWidth="1"/>
    <col min="429" max="433" width="10.83203125" style="19"/>
    <col min="434" max="434" width="13.5" style="19" customWidth="1"/>
    <col min="435" max="16384" width="10.83203125" style="19"/>
  </cols>
  <sheetData>
    <row r="1" spans="1:434" x14ac:dyDescent="0.3">
      <c r="C1" s="5" t="d">
        <v>2016-07-01</v>
      </c>
      <c r="E1" s="1">
        <f>C35</f>
        <v>2245</v>
      </c>
      <c r="J1" s="5" t="d">
        <v>2016-08-01</v>
      </c>
      <c r="L1" s="2">
        <f>J35</f>
        <v>0</v>
      </c>
      <c r="N1" s="34"/>
      <c r="P1" s="5" t="d">
        <v>2017-06-01</v>
      </c>
      <c r="R1" s="1">
        <f>P35</f>
        <v>4446</v>
      </c>
      <c r="W1" s="5" t="d">
        <v>2017-07-01</v>
      </c>
      <c r="Y1" s="3">
        <f>W35</f>
        <v>5810</v>
      </c>
      <c r="AD1" s="5" t="d">
        <v>2017-08-01</v>
      </c>
      <c r="AF1" s="1">
        <f>AD35</f>
        <v>6210</v>
      </c>
      <c r="AK1" s="4" t="d">
        <v>2017-09-01</v>
      </c>
      <c r="AM1" s="1">
        <f>AK35</f>
        <v>2610</v>
      </c>
      <c r="AQ1" s="5" t="d">
        <v>2018-05-01</v>
      </c>
      <c r="AS1" s="1">
        <f>AQ35</f>
        <v>5170</v>
      </c>
      <c r="AV1" s="4" t="d">
        <v>2018-06-01</v>
      </c>
      <c r="AW1" s="6"/>
      <c r="AX1" s="6">
        <f>AV35</f>
        <v>4170</v>
      </c>
      <c r="BB1" s="4" t="d">
        <v>2018-07-01</v>
      </c>
      <c r="BD1" s="6">
        <f>BB35</f>
        <v>11854</v>
      </c>
      <c r="BE1" s="6"/>
      <c r="BH1" s="4" t="d">
        <v>2018-08-01</v>
      </c>
      <c r="BJ1" s="6">
        <f>BH35</f>
        <v>13353</v>
      </c>
      <c r="BN1" s="4" t="d">
        <v>2018-09-01</v>
      </c>
      <c r="BP1" s="6">
        <f>BN35</f>
        <v>5122</v>
      </c>
      <c r="BT1" s="4" t="d">
        <v>2019-05-01</v>
      </c>
      <c r="BV1" s="1">
        <f>BT35</f>
        <v>967</v>
      </c>
      <c r="BZ1" s="4" t="d">
        <v>2019-06-01</v>
      </c>
      <c r="CB1" s="1">
        <f>BZ35</f>
        <v>13641</v>
      </c>
      <c r="CF1" s="4" t="d">
        <v>2019-07-01</v>
      </c>
      <c r="CH1" s="1">
        <f>CF35</f>
        <v>19146</v>
      </c>
      <c r="CL1" s="4" t="d">
        <v>2019-08-01</v>
      </c>
      <c r="CP1" s="8" t="d">
        <v>2019-09-01</v>
      </c>
      <c r="CR1" s="1">
        <f>CP35</f>
        <v>8440</v>
      </c>
      <c r="CV1" s="8" t="d">
        <v>2019-10-01</v>
      </c>
      <c r="CX1" s="1">
        <f>CV35</f>
        <v>0</v>
      </c>
      <c r="DC1" s="4" t="d">
        <v>2020-05-01</v>
      </c>
      <c r="DE1" s="1">
        <f>DC35</f>
        <v>5463</v>
      </c>
      <c r="DI1" s="4" t="d">
        <v>2020-06-01</v>
      </c>
      <c r="DN1" s="4" t="d">
        <v>2020-07-01</v>
      </c>
      <c r="DP1" s="1">
        <f>DN35</f>
        <v>35960</v>
      </c>
      <c r="DT1" s="4" t="d">
        <v>2020-08-01</v>
      </c>
      <c r="DV1" s="1"/>
      <c r="DZ1" s="8" t="d">
        <v>2020-09-01</v>
      </c>
      <c r="EB1" s="1">
        <f>DZ35</f>
        <v>18474.5</v>
      </c>
      <c r="EF1" s="8" t="d">
        <v>2020-10-01</v>
      </c>
      <c r="EH1" s="1">
        <f>EF35</f>
        <v>0</v>
      </c>
      <c r="EM1" s="4" t="d">
        <v>2021-03-01</v>
      </c>
      <c r="EO1" s="1">
        <f>EM35</f>
        <v>600</v>
      </c>
      <c r="ES1" s="4" t="d">
        <v>2021-04-01</v>
      </c>
      <c r="EU1" s="1">
        <f>ES35</f>
        <v>8089</v>
      </c>
      <c r="EY1" s="4" t="d">
        <v>2021-05-01</v>
      </c>
      <c r="FA1" s="1">
        <f>EY35</f>
        <v>8530</v>
      </c>
      <c r="FE1" s="4" t="d">
        <v>2021-06-01</v>
      </c>
      <c r="FG1" s="1">
        <f>FE35</f>
        <v>16555</v>
      </c>
      <c r="FK1" s="8" t="d">
        <v>2021-07-01</v>
      </c>
      <c r="FM1" s="1">
        <f>FK35</f>
        <v>11789</v>
      </c>
      <c r="FQ1" s="8" t="d">
        <v>2021-08-01</v>
      </c>
      <c r="FS1" s="1">
        <f>FQ35</f>
        <v>15109</v>
      </c>
      <c r="FW1" s="4" t="d">
        <v>2021-09-01</v>
      </c>
      <c r="FY1" s="1">
        <f>FW35</f>
        <v>14023</v>
      </c>
      <c r="GC1" s="8" t="d">
        <v>2021-10-01</v>
      </c>
      <c r="GE1" s="1">
        <f>GC35</f>
        <v>2640</v>
      </c>
      <c r="GJ1" s="4" t="d">
        <v>2022-03-01</v>
      </c>
      <c r="GL1" s="15">
        <f>GJ36</f>
        <v>1660</v>
      </c>
      <c r="GP1" s="4" t="d">
        <v>2022-04-01</v>
      </c>
      <c r="GR1" s="15">
        <f>GP36</f>
        <v>5423</v>
      </c>
      <c r="GV1" s="4" t="d">
        <v>2022-05-01</v>
      </c>
      <c r="GW1" s="4"/>
      <c r="GX1" s="6">
        <f>GV36</f>
        <v>15717</v>
      </c>
      <c r="HB1" s="4" t="d">
        <v>2022-06-01</v>
      </c>
      <c r="HD1" s="15">
        <f>HB36</f>
        <v>23065</v>
      </c>
      <c r="HH1" s="4" t="d">
        <v>2022-07-01</v>
      </c>
      <c r="HJ1" s="15">
        <f>HH36</f>
        <v>60860</v>
      </c>
      <c r="HN1" s="4" t="d">
        <v>2022-08-01</v>
      </c>
      <c r="HP1" s="15">
        <f>HN36</f>
        <v>37259</v>
      </c>
      <c r="HT1" s="4" t="d">
        <v>2022-09-01</v>
      </c>
      <c r="HV1" s="15">
        <f>HT36</f>
        <v>14640</v>
      </c>
      <c r="HZ1" s="4" t="d">
        <v>2022-10-01</v>
      </c>
      <c r="IB1" s="18">
        <f>HZ36</f>
        <v>2340</v>
      </c>
      <c r="IE1" s="4" t="d">
        <v>2023-03-01</v>
      </c>
      <c r="IG1" s="23">
        <v>0</v>
      </c>
      <c r="IL1" s="4" t="d">
        <v>2023-04-01</v>
      </c>
      <c r="IN1" s="18">
        <f>IL37</f>
        <v>1925</v>
      </c>
      <c r="IR1" s="4" t="d">
        <v>2023-05-01</v>
      </c>
      <c r="IT1" s="6">
        <f>IR37</f>
        <v>14674</v>
      </c>
      <c r="IX1" s="4" t="d">
        <v>2023-06-01</v>
      </c>
      <c r="IZ1" s="6">
        <f>IX37</f>
        <v>30791</v>
      </c>
      <c r="JD1" s="4" t="d">
        <v>2023-07-01</v>
      </c>
      <c r="JF1" s="6">
        <f>JD37</f>
        <v>27582</v>
      </c>
      <c r="JJ1" s="4" t="d">
        <v>2023-08-01</v>
      </c>
      <c r="JL1" s="6">
        <f>JJ37</f>
        <v>22948</v>
      </c>
      <c r="JP1" s="4" t="d">
        <v>2023-09-01</v>
      </c>
      <c r="JR1" s="6">
        <f>JP37</f>
        <v>33945</v>
      </c>
      <c r="JV1" s="4" t="d">
        <v>2023-10-01</v>
      </c>
      <c r="JX1" s="6">
        <f>JV37</f>
        <v>6170</v>
      </c>
      <c r="KC1" s="4" t="d">
        <v>2024-03-01</v>
      </c>
      <c r="KE1" s="16">
        <v>675</v>
      </c>
      <c r="KJ1" s="4" t="d">
        <v>2024-04-01</v>
      </c>
      <c r="KL1" s="18">
        <f>KJ38</f>
        <v>1735</v>
      </c>
      <c r="KP1" s="4" t="d">
        <v>2024-05-01</v>
      </c>
      <c r="KR1" s="18">
        <f>KP38</f>
        <v>6156</v>
      </c>
      <c r="KV1" s="4" t="d">
        <v>2024-06-01</v>
      </c>
      <c r="KX1" s="6">
        <f>KV38</f>
        <v>13192.5</v>
      </c>
      <c r="LB1" s="4" t="d">
        <v>2024-07-01</v>
      </c>
      <c r="LD1" s="16">
        <f>LB38</f>
        <v>24200.5</v>
      </c>
      <c r="LH1" s="4" t="d">
        <v>2024-08-01</v>
      </c>
      <c r="LJ1" s="6">
        <f>LH38</f>
        <v>34257</v>
      </c>
      <c r="LN1" s="4" t="d">
        <v>2024-09-01</v>
      </c>
      <c r="LP1" s="6">
        <f>LN38</f>
        <v>11915</v>
      </c>
      <c r="LT1" s="4" t="d">
        <v>2024-10-01</v>
      </c>
      <c r="LV1" s="6">
        <f>LT38</f>
        <v>2420</v>
      </c>
      <c r="LX1" s="36"/>
      <c r="MA1" s="4" t="d">
        <v>2025-03-01</v>
      </c>
      <c r="MC1" s="6">
        <f>MA39</f>
        <v>919</v>
      </c>
      <c r="MH1" s="4" t="d">
        <v>2025-04-01</v>
      </c>
      <c r="MJ1" s="6">
        <f>MH39</f>
        <v>6569</v>
      </c>
      <c r="MN1" s="4" t="d">
        <v>2025-05-01</v>
      </c>
      <c r="MP1" s="54">
        <f>MN39</f>
        <v>22858</v>
      </c>
      <c r="MT1" s="4" t="d">
        <v>2025-06-01</v>
      </c>
      <c r="MU1" s="6">
        <f>MT39</f>
        <v>41146</v>
      </c>
      <c r="MZ1" s="4" t="d">
        <v>2025-07-01</v>
      </c>
      <c r="NB1" s="6">
        <f>MZ39</f>
        <v>41009</v>
      </c>
      <c r="NF1" s="4" t="d">
        <v>2025-08-01</v>
      </c>
      <c r="NH1" s="6">
        <f>NF39</f>
        <v>44699</v>
      </c>
      <c r="NL1" s="4" t="d">
        <v>2025-09-01</v>
      </c>
      <c r="NM1" s="23"/>
      <c r="NN1" s="6">
        <f>NL39</f>
        <v>13851.5</v>
      </c>
      <c r="NR1" s="4" t="d">
        <v>2025-10-01</v>
      </c>
      <c r="NT1" s="6">
        <f>NR39</f>
        <v>1728</v>
      </c>
      <c r="NV1" s="36"/>
      <c r="NY1" s="4" t="d">
        <v>2026-03-01</v>
      </c>
      <c r="OA1" s="62">
        <f>NY40</f>
        <v>2500</v>
      </c>
      <c r="OF1" s="4" t="d">
        <v>2026-04-01</v>
      </c>
      <c r="OH1" s="63">
        <f>OF40</f>
        <v>7924</v>
      </c>
      <c r="OL1" s="4" t="d">
        <v>2026-05-01</v>
      </c>
      <c r="ON1" s="64">
        <f>OL40</f>
        <v>13887</v>
      </c>
      <c r="OR1" s="4" t="d">
        <v>2026-06-01</v>
      </c>
      <c r="OX1" s="4" t="d">
        <v>2026-07-01</v>
      </c>
      <c r="PD1" s="4" t="d">
        <v>2026-08-01</v>
      </c>
      <c r="PJ1" s="4" t="d">
        <v>2026-09-01</v>
      </c>
      <c r="PP1" s="4" t="d">
        <v>2026-10-01</v>
      </c>
    </row>
    <row r="2" spans="1:434" x14ac:dyDescent="0.3">
      <c r="C2" s="5"/>
      <c r="E2" s="1"/>
      <c r="J2" s="5"/>
      <c r="L2" s="2"/>
      <c r="N2" s="34"/>
      <c r="P2" s="5"/>
      <c r="R2" s="1"/>
      <c r="W2" s="5"/>
      <c r="Y2" s="3"/>
      <c r="AD2" s="5"/>
      <c r="AF2" s="1"/>
      <c r="AK2" s="4"/>
      <c r="AQ2" s="5"/>
      <c r="AS2" s="1"/>
      <c r="AV2" s="4"/>
      <c r="AW2" s="6"/>
      <c r="AX2" s="6"/>
      <c r="BB2" s="4"/>
      <c r="BD2" s="6"/>
      <c r="BE2" s="6"/>
      <c r="BH2" s="4"/>
      <c r="BJ2" s="6"/>
      <c r="BN2" s="4"/>
      <c r="BP2" s="6"/>
      <c r="BT2" s="4"/>
      <c r="BV2" s="1"/>
      <c r="BZ2" s="4"/>
      <c r="CA2" s="19" t="s">
        <v>0</v>
      </c>
      <c r="CB2" s="27" t="s">
        <v>1</v>
      </c>
      <c r="CF2" s="4"/>
      <c r="CH2" s="1"/>
      <c r="CL2" s="4"/>
      <c r="CP2" s="8"/>
      <c r="CR2" s="1"/>
      <c r="CV2" s="8"/>
      <c r="CX2" s="1"/>
      <c r="DC2" s="4"/>
      <c r="DE2" s="1"/>
      <c r="DI2" s="4"/>
      <c r="DN2" s="4"/>
      <c r="DP2" s="1"/>
      <c r="DT2" s="4"/>
      <c r="DV2" s="1"/>
      <c r="DZ2" s="8"/>
      <c r="EB2" s="1"/>
      <c r="EF2" s="8"/>
      <c r="EH2" s="1"/>
      <c r="EM2" s="4"/>
      <c r="EO2" s="1"/>
      <c r="ES2" s="4"/>
      <c r="EU2" s="27"/>
      <c r="EY2" s="4" t="d">
        <v>2020-05-01</v>
      </c>
      <c r="FA2" s="9">
        <v>5463</v>
      </c>
      <c r="FE2" s="4" t="d">
        <v>2020-06-01</v>
      </c>
      <c r="FG2" s="9">
        <v>22545</v>
      </c>
      <c r="FK2" s="4" t="d">
        <v>2020-07-01</v>
      </c>
      <c r="FM2" s="11">
        <v>35960</v>
      </c>
      <c r="FQ2" s="4" t="d">
        <v>2020-08-01</v>
      </c>
      <c r="FS2" s="9">
        <v>34956</v>
      </c>
      <c r="FW2" s="8" t="d">
        <v>2020-09-01</v>
      </c>
      <c r="FY2" s="9">
        <v>18475</v>
      </c>
      <c r="GC2" s="8" t="d">
        <v>2020-10-01</v>
      </c>
      <c r="GE2" s="1">
        <f>GC36</f>
        <v>0</v>
      </c>
      <c r="GJ2" s="4" t="d">
        <v>2021-03-01</v>
      </c>
      <c r="GL2" s="14">
        <v>600</v>
      </c>
      <c r="GP2" s="4" t="d">
        <v>2021-04-01</v>
      </c>
      <c r="GR2" s="14">
        <v>8089</v>
      </c>
      <c r="GV2" s="4" t="d">
        <v>2021-05-01</v>
      </c>
      <c r="GW2" s="4"/>
      <c r="GX2" s="14">
        <v>8530</v>
      </c>
      <c r="HB2" s="4" t="d">
        <v>2021-06-01</v>
      </c>
      <c r="HD2" s="14">
        <v>16555</v>
      </c>
      <c r="HH2" s="8" t="d">
        <v>2021-07-01</v>
      </c>
      <c r="HJ2" s="14">
        <v>11789</v>
      </c>
      <c r="HK2" s="1"/>
      <c r="HN2" s="8" t="d">
        <v>2021-08-01</v>
      </c>
      <c r="HP2" s="14">
        <v>15109</v>
      </c>
      <c r="HT2" s="4" t="d">
        <v>2021-09-01</v>
      </c>
      <c r="HV2" s="14">
        <v>14023</v>
      </c>
      <c r="HZ2" s="8" t="d">
        <v>2021-10-01</v>
      </c>
      <c r="IB2" s="14">
        <v>2640</v>
      </c>
      <c r="IE2" s="4" t="d">
        <v>2022-03-01</v>
      </c>
      <c r="IG2" s="6">
        <v>1660</v>
      </c>
      <c r="IL2" s="4" t="d">
        <v>2022-04-01</v>
      </c>
      <c r="IN2" s="22">
        <v>5423</v>
      </c>
      <c r="IR2" s="4" t="d">
        <v>2022-05-01</v>
      </c>
      <c r="IS2" s="4"/>
      <c r="IT2" s="17">
        <v>15717</v>
      </c>
      <c r="IX2" s="4" t="d">
        <v>2022-06-01</v>
      </c>
      <c r="IZ2" s="21">
        <v>23065</v>
      </c>
      <c r="JA2" s="15"/>
      <c r="JD2" s="4" t="d">
        <v>2022-07-01</v>
      </c>
      <c r="JF2" s="17">
        <v>60860</v>
      </c>
      <c r="JJ2" s="4" t="d">
        <v>2022-08-01</v>
      </c>
      <c r="JL2" s="17">
        <v>37259</v>
      </c>
      <c r="JP2" s="4" t="d">
        <v>2022-09-01</v>
      </c>
      <c r="JR2" s="17">
        <v>14640</v>
      </c>
      <c r="JV2" s="4" t="d">
        <v>2022-10-01</v>
      </c>
      <c r="JX2" s="17">
        <v>2340</v>
      </c>
      <c r="KC2" s="4" t="d">
        <v>2023-03-01</v>
      </c>
      <c r="KE2" s="23">
        <v>0</v>
      </c>
      <c r="KJ2" s="4" t="d">
        <v>2023-04-01</v>
      </c>
      <c r="KL2" s="48">
        <f>IN1</f>
        <v>1925</v>
      </c>
      <c r="KP2" s="4" t="d">
        <v>2023-05-01</v>
      </c>
      <c r="KR2" s="23">
        <f>IT1</f>
        <v>14674</v>
      </c>
      <c r="KV2" s="4" t="d">
        <v>2023-06-01</v>
      </c>
      <c r="KX2" s="23">
        <f>IZ1</f>
        <v>30791</v>
      </c>
      <c r="LB2" s="4" t="d">
        <v>2023-07-01</v>
      </c>
      <c r="LD2" s="23">
        <f>JF1</f>
        <v>27582</v>
      </c>
      <c r="LH2" s="4" t="d">
        <v>2023-08-01</v>
      </c>
      <c r="LJ2" s="23">
        <f>JL1</f>
        <v>22948</v>
      </c>
      <c r="LN2" s="4" t="d">
        <v>2023-09-01</v>
      </c>
      <c r="LP2" s="23">
        <f>JR1</f>
        <v>33945</v>
      </c>
      <c r="LT2" s="4" t="d">
        <v>2023-10-01</v>
      </c>
      <c r="LV2" s="23">
        <f>JX1</f>
        <v>6170</v>
      </c>
      <c r="LX2" s="36"/>
      <c r="MA2" s="4" t="d">
        <v>2024-03-01</v>
      </c>
      <c r="MC2" s="50">
        <v>675</v>
      </c>
      <c r="MH2" s="4" t="d">
        <v>2024-04-01</v>
      </c>
      <c r="MJ2" s="51">
        <v>0</v>
      </c>
      <c r="MN2" s="4" t="d">
        <v>2024-05-01</v>
      </c>
      <c r="MP2" s="54">
        <v>6156</v>
      </c>
      <c r="MT2" s="4" t="d">
        <v>2024-06-01</v>
      </c>
      <c r="MU2" s="52">
        <v>13193</v>
      </c>
      <c r="MZ2" s="4" t="d">
        <v>2024-07-01</v>
      </c>
      <c r="NB2" s="50">
        <v>24201</v>
      </c>
      <c r="NF2" s="4" t="d">
        <v>2024-08-01</v>
      </c>
      <c r="NH2" s="52">
        <v>34257</v>
      </c>
      <c r="NL2" s="4" t="d">
        <v>2024-09-01</v>
      </c>
      <c r="NN2" s="52">
        <v>11915</v>
      </c>
      <c r="NR2" s="4" t="d">
        <v>2024-10-01</v>
      </c>
      <c r="NT2" s="52">
        <v>2420</v>
      </c>
      <c r="NV2" s="36"/>
      <c r="NY2" s="4" t="d">
        <v>2025-03-01</v>
      </c>
      <c r="OA2" s="6">
        <v>919</v>
      </c>
      <c r="OF2" s="4" t="d">
        <v>2025-04-01</v>
      </c>
      <c r="OH2" s="6">
        <v>6569</v>
      </c>
      <c r="OL2" s="4" t="d">
        <v>2025-05-01</v>
      </c>
      <c r="ON2" s="54">
        <v>22858</v>
      </c>
      <c r="OR2" s="4" t="d">
        <v>2025-06-01</v>
      </c>
      <c r="OS2" s="6">
        <v>41146</v>
      </c>
      <c r="OX2" s="4" t="d">
        <v>2025-07-01</v>
      </c>
      <c r="OZ2" s="61">
        <v>41009</v>
      </c>
      <c r="PD2" s="4" t="d">
        <v>2025-08-01</v>
      </c>
      <c r="PF2" s="6">
        <v>44699</v>
      </c>
      <c r="PJ2" s="4" t="d">
        <v>2025-09-01</v>
      </c>
      <c r="PK2" s="23"/>
      <c r="PL2" s="6">
        <v>13852</v>
      </c>
      <c r="PP2" s="4" t="d">
        <v>2025-10-01</v>
      </c>
      <c r="PR2" s="6">
        <v>1728</v>
      </c>
    </row>
    <row r="3" spans="1:434" x14ac:dyDescent="0.3">
      <c r="A3" s="34">
        <v>1</v>
      </c>
      <c r="C3" s="7"/>
      <c r="H3" s="34">
        <v>1</v>
      </c>
      <c r="J3" s="7">
        <v>0</v>
      </c>
      <c r="N3" s="34">
        <v>1</v>
      </c>
      <c r="P3" s="7"/>
      <c r="U3" s="34" t="s">
        <v>2</v>
      </c>
      <c r="W3" s="7">
        <v>0</v>
      </c>
      <c r="AB3" s="38" t="s">
        <v>3</v>
      </c>
      <c r="AD3" s="7">
        <v>120</v>
      </c>
      <c r="AI3" s="34" t="s">
        <v>4</v>
      </c>
      <c r="AK3" s="7">
        <v>55</v>
      </c>
      <c r="AO3" s="38" t="s">
        <v>3</v>
      </c>
      <c r="AQ3" s="7"/>
      <c r="AU3" s="34" t="s">
        <v>5</v>
      </c>
      <c r="AZ3" s="34" t="s">
        <v>6</v>
      </c>
      <c r="BA3" s="37">
        <v>1</v>
      </c>
      <c r="BB3" s="7">
        <v>1325</v>
      </c>
      <c r="BF3" s="34" t="s">
        <v>7</v>
      </c>
      <c r="BG3" s="37">
        <v>1</v>
      </c>
      <c r="BH3" s="7">
        <v>430</v>
      </c>
      <c r="BL3" s="34" t="s">
        <v>8</v>
      </c>
      <c r="BM3" s="37">
        <v>1</v>
      </c>
      <c r="BN3" s="7">
        <v>500</v>
      </c>
      <c r="BR3" s="34" t="s">
        <v>7</v>
      </c>
      <c r="BS3" s="37">
        <v>1</v>
      </c>
      <c r="BT3" s="7">
        <v>75</v>
      </c>
      <c r="BX3" s="34" t="s">
        <v>8</v>
      </c>
      <c r="BY3" s="37">
        <v>1</v>
      </c>
      <c r="BZ3" s="7">
        <v>900</v>
      </c>
      <c r="CA3" s="19" t="s">
        <v>9</v>
      </c>
      <c r="CD3" s="34" t="s">
        <v>10</v>
      </c>
      <c r="CE3" s="37">
        <v>1</v>
      </c>
      <c r="CF3" s="7">
        <v>120</v>
      </c>
      <c r="CG3" s="19">
        <f>CF3+CF4+CF5+CF6+CF7+CF8+CF9+CF10+CF11+CF12+CF13+CF14+CF15+CF16</f>
        <v>9775</v>
      </c>
      <c r="CJ3" s="34" t="s">
        <v>11</v>
      </c>
      <c r="CK3" s="37">
        <v>1</v>
      </c>
      <c r="CL3" s="7">
        <v>90</v>
      </c>
      <c r="CN3" s="34" t="s">
        <v>6</v>
      </c>
      <c r="CO3" s="37">
        <v>1</v>
      </c>
      <c r="CP3" s="7">
        <v>1102</v>
      </c>
      <c r="CT3" s="34" t="s">
        <v>12</v>
      </c>
      <c r="CU3" s="37">
        <v>1</v>
      </c>
      <c r="CV3" s="7">
        <v>0</v>
      </c>
      <c r="DA3" s="34" t="s">
        <v>13</v>
      </c>
      <c r="DB3" s="37">
        <v>1</v>
      </c>
      <c r="DC3" s="7"/>
      <c r="DG3" s="34" t="s">
        <v>10</v>
      </c>
      <c r="DH3" s="37">
        <v>1</v>
      </c>
      <c r="DI3" s="7">
        <v>4300</v>
      </c>
      <c r="DL3" s="34" t="s">
        <v>7</v>
      </c>
      <c r="DM3" s="37">
        <v>1</v>
      </c>
      <c r="DN3" s="7">
        <v>250</v>
      </c>
      <c r="DR3" s="34" t="s">
        <v>8</v>
      </c>
      <c r="DS3" s="37">
        <v>1</v>
      </c>
      <c r="DT3" s="7">
        <v>1992</v>
      </c>
      <c r="DX3" s="34" t="s">
        <v>12</v>
      </c>
      <c r="DY3" s="37">
        <v>1</v>
      </c>
      <c r="DZ3" s="7">
        <v>90</v>
      </c>
      <c r="ED3" s="34" t="s">
        <v>11</v>
      </c>
      <c r="EE3" s="37">
        <v>1</v>
      </c>
      <c r="EF3" s="7">
        <v>0</v>
      </c>
      <c r="EK3" s="34" t="s">
        <v>10</v>
      </c>
      <c r="EL3" s="37">
        <v>1</v>
      </c>
      <c r="EM3" s="7"/>
      <c r="EQ3" s="34" t="s">
        <v>11</v>
      </c>
      <c r="ER3" s="37">
        <v>1</v>
      </c>
      <c r="ES3" s="7">
        <v>260</v>
      </c>
      <c r="EW3" s="34" t="s">
        <v>8</v>
      </c>
      <c r="EX3" s="37">
        <v>1</v>
      </c>
      <c r="EY3" s="7"/>
      <c r="FC3" s="34" t="s">
        <v>12</v>
      </c>
      <c r="FD3" s="37">
        <v>1</v>
      </c>
      <c r="FE3" s="7">
        <v>304</v>
      </c>
      <c r="FI3" s="34" t="s">
        <v>11</v>
      </c>
      <c r="FJ3" s="37">
        <v>1</v>
      </c>
      <c r="FK3" s="7"/>
      <c r="FL3" s="10">
        <v>250</v>
      </c>
      <c r="FO3" s="34" t="s">
        <v>6</v>
      </c>
      <c r="FP3" s="37">
        <v>1</v>
      </c>
      <c r="FQ3" s="7">
        <v>670</v>
      </c>
      <c r="FR3" s="12">
        <v>1992</v>
      </c>
      <c r="FU3" s="34" t="s">
        <v>7</v>
      </c>
      <c r="FV3" s="37">
        <v>1</v>
      </c>
      <c r="FW3" s="7">
        <v>120</v>
      </c>
      <c r="FX3" s="12">
        <v>90</v>
      </c>
      <c r="GA3" s="34" t="s">
        <v>13</v>
      </c>
      <c r="GB3" s="37">
        <v>1</v>
      </c>
      <c r="GC3" s="7"/>
      <c r="GJ3" s="4"/>
      <c r="GL3" s="1"/>
      <c r="GP3" s="4"/>
      <c r="GR3" s="27"/>
      <c r="GV3" s="4" t="d">
        <v>2020-05-01</v>
      </c>
      <c r="GW3" s="4"/>
      <c r="GX3" s="9">
        <v>5463</v>
      </c>
      <c r="HB3" s="4" t="d">
        <v>2020-06-01</v>
      </c>
      <c r="HD3" s="9">
        <v>22545</v>
      </c>
      <c r="HH3" s="4" t="d">
        <v>2020-07-01</v>
      </c>
      <c r="HJ3" s="9">
        <v>35960</v>
      </c>
      <c r="HK3" s="11"/>
      <c r="HN3" s="4" t="d">
        <v>2020-08-01</v>
      </c>
      <c r="HP3" s="9">
        <v>34956</v>
      </c>
      <c r="HT3" s="8" t="d">
        <v>2020-09-01</v>
      </c>
      <c r="HV3" s="9">
        <v>18475</v>
      </c>
      <c r="HZ3" s="8" t="d">
        <v>2020-10-01</v>
      </c>
      <c r="IB3" s="9">
        <f>HZ37</f>
        <v>0</v>
      </c>
      <c r="IE3" s="4" t="d">
        <v>2021-03-01</v>
      </c>
      <c r="IG3" s="24">
        <v>600</v>
      </c>
      <c r="IL3" s="4" t="d">
        <v>2021-04-01</v>
      </c>
      <c r="IN3" s="26">
        <v>8089</v>
      </c>
      <c r="IR3" s="4" t="d">
        <v>2021-05-01</v>
      </c>
      <c r="IS3" s="4"/>
      <c r="IT3" s="24">
        <v>8530</v>
      </c>
      <c r="IX3" s="4" t="d">
        <v>2021-06-01</v>
      </c>
      <c r="IZ3" s="24">
        <v>16555</v>
      </c>
      <c r="JD3" s="8" t="d">
        <v>2021-07-01</v>
      </c>
      <c r="JF3" s="24">
        <v>11789</v>
      </c>
      <c r="JG3" s="1"/>
      <c r="JJ3" s="8" t="d">
        <v>2021-08-01</v>
      </c>
      <c r="JL3" s="24">
        <v>15109</v>
      </c>
      <c r="JP3" s="4" t="d">
        <v>2021-09-01</v>
      </c>
      <c r="JR3" s="24">
        <v>14023</v>
      </c>
      <c r="JV3" s="8" t="d">
        <v>2021-10-01</v>
      </c>
      <c r="JX3" s="24">
        <v>2640</v>
      </c>
      <c r="KC3" s="4" t="d">
        <v>2022-03-01</v>
      </c>
      <c r="KE3" s="17">
        <v>1660</v>
      </c>
      <c r="KJ3" s="4" t="d">
        <v>2022-04-01</v>
      </c>
      <c r="KL3" s="22">
        <v>5423</v>
      </c>
      <c r="KP3" s="4" t="d">
        <v>2022-05-01</v>
      </c>
      <c r="KQ3" s="4"/>
      <c r="KR3" s="17">
        <v>15717</v>
      </c>
      <c r="KV3" s="4" t="d">
        <v>2022-06-01</v>
      </c>
      <c r="KX3" s="21">
        <v>23065</v>
      </c>
      <c r="KY3" s="15"/>
      <c r="LB3" s="4" t="d">
        <v>2022-07-01</v>
      </c>
      <c r="LD3" s="17">
        <v>60860</v>
      </c>
      <c r="LH3" s="4" t="d">
        <v>2022-08-01</v>
      </c>
      <c r="LJ3" s="17">
        <v>37259</v>
      </c>
      <c r="LN3" s="4" t="d">
        <v>2022-09-01</v>
      </c>
      <c r="LP3" s="17">
        <v>14640</v>
      </c>
      <c r="LT3" s="4" t="d">
        <v>2022-10-01</v>
      </c>
      <c r="LV3" s="17">
        <v>2340</v>
      </c>
      <c r="LX3" s="36"/>
      <c r="MA3" s="4" t="d">
        <v>2023-03-01</v>
      </c>
      <c r="MC3" s="23">
        <v>0</v>
      </c>
      <c r="MH3" s="4" t="d">
        <v>2023-04-01</v>
      </c>
      <c r="MJ3" s="48">
        <f>KL2</f>
        <v>1925</v>
      </c>
      <c r="MN3" s="4" t="d">
        <v>2023-05-01</v>
      </c>
      <c r="MP3" s="23">
        <f>KR2</f>
        <v>14674</v>
      </c>
      <c r="MT3" s="4" t="d">
        <v>2023-06-01</v>
      </c>
      <c r="MU3" s="23">
        <f>KX2</f>
        <v>30791</v>
      </c>
      <c r="MZ3" s="4" t="d">
        <v>2023-07-01</v>
      </c>
      <c r="NB3" s="23">
        <f>LD2</f>
        <v>27582</v>
      </c>
      <c r="NF3" s="4" t="d">
        <v>2023-08-01</v>
      </c>
      <c r="NH3" s="23">
        <f>LJ2</f>
        <v>22948</v>
      </c>
      <c r="NL3" s="4" t="d">
        <v>2023-09-01</v>
      </c>
      <c r="NN3" s="23">
        <f>LP2</f>
        <v>33945</v>
      </c>
      <c r="NR3" s="4" t="d">
        <v>2023-10-01</v>
      </c>
      <c r="NT3" s="23">
        <f>LV2</f>
        <v>6170</v>
      </c>
      <c r="NV3" s="36"/>
      <c r="NY3" s="4" t="d">
        <v>2024-03-01</v>
      </c>
      <c r="OA3" s="50">
        <v>675</v>
      </c>
      <c r="OF3" s="4" t="d">
        <v>2024-04-01</v>
      </c>
      <c r="OH3" s="51">
        <v>0</v>
      </c>
      <c r="OL3" s="4" t="d">
        <v>2024-05-01</v>
      </c>
      <c r="ON3" s="54">
        <v>6156</v>
      </c>
      <c r="OR3" s="4" t="d">
        <v>2024-06-01</v>
      </c>
      <c r="OS3" s="52">
        <v>13193</v>
      </c>
      <c r="OX3" s="4" t="d">
        <v>2024-07-01</v>
      </c>
      <c r="OZ3" s="50">
        <v>24201</v>
      </c>
      <c r="PD3" s="4" t="d">
        <v>2024-08-01</v>
      </c>
      <c r="PF3" s="52">
        <v>34257</v>
      </c>
      <c r="PJ3" s="4" t="d">
        <v>2024-09-01</v>
      </c>
      <c r="PL3" s="52">
        <v>11915</v>
      </c>
      <c r="PP3" s="4" t="d">
        <v>2024-10-01</v>
      </c>
      <c r="PR3" s="52">
        <v>2420</v>
      </c>
    </row>
    <row r="4" spans="1:434" x14ac:dyDescent="0.3">
      <c r="A4" s="34">
        <v>2</v>
      </c>
      <c r="C4" s="7"/>
      <c r="H4" s="34">
        <v>2</v>
      </c>
      <c r="J4" s="7"/>
      <c r="N4" s="34">
        <v>2</v>
      </c>
      <c r="P4" s="7"/>
      <c r="U4" s="34" t="s">
        <v>14</v>
      </c>
      <c r="W4" s="7">
        <v>0</v>
      </c>
      <c r="AB4" s="34" t="s">
        <v>15</v>
      </c>
      <c r="AD4" s="7">
        <v>285</v>
      </c>
      <c r="AI4" s="34" t="s">
        <v>16</v>
      </c>
      <c r="AK4" s="7">
        <v>260</v>
      </c>
      <c r="AO4" s="34" t="s">
        <v>15</v>
      </c>
      <c r="AQ4" s="7"/>
      <c r="AU4" s="34" t="s">
        <v>16</v>
      </c>
      <c r="AV4" s="7">
        <v>345</v>
      </c>
      <c r="AZ4" s="34" t="s">
        <v>10</v>
      </c>
      <c r="BA4" s="37">
        <v>2</v>
      </c>
      <c r="BB4" s="7">
        <v>240</v>
      </c>
      <c r="BF4" s="34" t="s">
        <v>11</v>
      </c>
      <c r="BG4" s="37">
        <v>2</v>
      </c>
      <c r="BH4" s="7">
        <v>220</v>
      </c>
      <c r="BL4" s="34" t="s">
        <v>6</v>
      </c>
      <c r="BM4" s="37">
        <v>2</v>
      </c>
      <c r="BN4" s="7">
        <v>1550</v>
      </c>
      <c r="BR4" s="34" t="s">
        <v>11</v>
      </c>
      <c r="BS4" s="37">
        <v>2</v>
      </c>
      <c r="BT4" s="1"/>
      <c r="BX4" s="34" t="s">
        <v>6</v>
      </c>
      <c r="BY4" s="37">
        <v>2</v>
      </c>
      <c r="BZ4" s="7">
        <v>2300</v>
      </c>
      <c r="CA4" s="19" t="s">
        <v>9</v>
      </c>
      <c r="CD4" s="34" t="s">
        <v>12</v>
      </c>
      <c r="CE4" s="37">
        <v>2</v>
      </c>
      <c r="CF4" s="7">
        <v>400</v>
      </c>
      <c r="CJ4" s="34" t="s">
        <v>13</v>
      </c>
      <c r="CK4" s="37">
        <v>2</v>
      </c>
      <c r="CL4" s="7">
        <v>334</v>
      </c>
      <c r="CN4" s="34" t="s">
        <v>10</v>
      </c>
      <c r="CO4" s="37">
        <v>2</v>
      </c>
      <c r="CP4" s="7">
        <v>80</v>
      </c>
      <c r="CT4" s="34" t="s">
        <v>7</v>
      </c>
      <c r="CU4" s="37">
        <v>2</v>
      </c>
      <c r="CV4" s="7"/>
      <c r="DA4" s="34" t="s">
        <v>8</v>
      </c>
      <c r="DB4" s="37">
        <v>2</v>
      </c>
      <c r="DC4" s="1"/>
      <c r="DG4" s="34" t="s">
        <v>12</v>
      </c>
      <c r="DH4" s="37">
        <v>2</v>
      </c>
      <c r="DI4" s="7">
        <v>825</v>
      </c>
      <c r="DL4" s="34" t="s">
        <v>11</v>
      </c>
      <c r="DM4" s="37">
        <v>2</v>
      </c>
      <c r="DN4" s="7">
        <v>34</v>
      </c>
      <c r="DR4" s="34" t="s">
        <v>6</v>
      </c>
      <c r="DS4" s="37">
        <v>2</v>
      </c>
      <c r="DT4" s="7">
        <v>3220</v>
      </c>
      <c r="DX4" s="34" t="s">
        <v>7</v>
      </c>
      <c r="DY4" s="37">
        <v>2</v>
      </c>
      <c r="DZ4" s="7">
        <v>93.5</v>
      </c>
      <c r="ED4" s="34" t="s">
        <v>13</v>
      </c>
      <c r="EE4" s="37">
        <v>2</v>
      </c>
      <c r="EF4" s="7"/>
      <c r="EK4" s="34" t="s">
        <v>12</v>
      </c>
      <c r="EL4" s="37">
        <v>2</v>
      </c>
      <c r="EM4" s="1"/>
      <c r="EQ4" s="34" t="s">
        <v>13</v>
      </c>
      <c r="ER4" s="37">
        <v>2</v>
      </c>
      <c r="ES4" s="7"/>
      <c r="EW4" s="34" t="s">
        <v>6</v>
      </c>
      <c r="EX4" s="37">
        <v>2</v>
      </c>
      <c r="EY4" s="7">
        <v>460</v>
      </c>
      <c r="FC4" s="34" t="s">
        <v>7</v>
      </c>
      <c r="FD4" s="37">
        <v>2</v>
      </c>
      <c r="FE4" s="7"/>
      <c r="FI4" s="34" t="s">
        <v>13</v>
      </c>
      <c r="FJ4" s="37">
        <v>2</v>
      </c>
      <c r="FK4" s="7">
        <v>700</v>
      </c>
      <c r="FL4" s="10">
        <v>34</v>
      </c>
      <c r="FO4" s="34" t="s">
        <v>10</v>
      </c>
      <c r="FP4" s="37">
        <v>2</v>
      </c>
      <c r="FQ4" s="7">
        <v>80</v>
      </c>
      <c r="FR4" s="12">
        <v>3220</v>
      </c>
      <c r="FU4" s="34" t="s">
        <v>11</v>
      </c>
      <c r="FV4" s="37">
        <v>2</v>
      </c>
      <c r="FW4" s="7"/>
      <c r="FX4" s="12">
        <v>93.5</v>
      </c>
      <c r="GA4" s="34" t="s">
        <v>8</v>
      </c>
      <c r="GB4" s="37">
        <v>2</v>
      </c>
      <c r="GC4" s="7"/>
      <c r="GH4" s="34" t="s">
        <v>12</v>
      </c>
      <c r="GI4" s="37">
        <v>1</v>
      </c>
      <c r="GJ4" s="13"/>
      <c r="GN4" s="34" t="s">
        <v>13</v>
      </c>
      <c r="GO4" s="37">
        <v>1</v>
      </c>
      <c r="GP4" s="15"/>
      <c r="GT4" s="34" t="s">
        <v>6</v>
      </c>
      <c r="GU4" s="37">
        <v>1</v>
      </c>
      <c r="GV4" s="6">
        <v>650</v>
      </c>
      <c r="GW4" s="7"/>
      <c r="GZ4" s="34" t="s">
        <v>7</v>
      </c>
      <c r="HA4" s="37">
        <v>1</v>
      </c>
      <c r="HB4" s="15"/>
      <c r="HF4" s="34" t="s">
        <v>13</v>
      </c>
      <c r="HG4" s="37">
        <v>1</v>
      </c>
      <c r="HH4" s="15">
        <v>657</v>
      </c>
      <c r="HI4" s="10"/>
      <c r="HL4" s="34" t="s">
        <v>10</v>
      </c>
      <c r="HM4" s="37">
        <v>1</v>
      </c>
      <c r="HN4" s="15">
        <v>680</v>
      </c>
      <c r="HO4" s="12"/>
      <c r="HR4" s="34" t="s">
        <v>11</v>
      </c>
      <c r="HS4" s="37">
        <v>1</v>
      </c>
      <c r="HT4" s="15"/>
      <c r="HU4" s="12"/>
      <c r="HX4" s="34" t="s">
        <v>8</v>
      </c>
      <c r="HY4" s="37">
        <v>1</v>
      </c>
      <c r="HZ4" s="15">
        <v>250</v>
      </c>
      <c r="IL4" s="4"/>
      <c r="IN4" s="27"/>
      <c r="IR4" s="4" t="d">
        <v>2020-05-01</v>
      </c>
      <c r="IS4" s="4"/>
      <c r="IT4" s="25">
        <v>5463</v>
      </c>
      <c r="IX4" s="4" t="d">
        <v>2020-06-01</v>
      </c>
      <c r="IZ4" s="25">
        <v>22545</v>
      </c>
      <c r="JD4" s="4" t="d">
        <v>2020-07-01</v>
      </c>
      <c r="JF4" s="25">
        <v>35960</v>
      </c>
      <c r="JG4" s="11"/>
      <c r="JJ4" s="4" t="d">
        <v>2020-08-01</v>
      </c>
      <c r="JL4" s="25">
        <v>34956</v>
      </c>
      <c r="JP4" s="8" t="d">
        <v>2020-09-01</v>
      </c>
      <c r="JR4" s="25">
        <v>18475</v>
      </c>
      <c r="JV4" s="8" t="d">
        <v>2020-10-01</v>
      </c>
      <c r="JX4" s="25">
        <f>JV38</f>
        <v>0</v>
      </c>
      <c r="KC4" s="4" t="d">
        <v>2021-03-01</v>
      </c>
      <c r="KE4" s="24">
        <v>600</v>
      </c>
      <c r="KJ4" s="4" t="d">
        <v>2021-04-01</v>
      </c>
      <c r="KL4" s="26">
        <v>8089</v>
      </c>
      <c r="KP4" s="4" t="d">
        <v>2021-05-01</v>
      </c>
      <c r="KQ4" s="4"/>
      <c r="KR4" s="24">
        <v>8530</v>
      </c>
      <c r="KV4" s="4" t="d">
        <v>2021-06-01</v>
      </c>
      <c r="KX4" s="24">
        <v>16555</v>
      </c>
      <c r="LB4" s="8" t="d">
        <v>2021-07-01</v>
      </c>
      <c r="LD4" s="24">
        <v>11789</v>
      </c>
      <c r="LE4" s="1"/>
      <c r="LH4" s="8" t="d">
        <v>2021-08-01</v>
      </c>
      <c r="LJ4" s="24">
        <v>15109</v>
      </c>
      <c r="LN4" s="4" t="d">
        <v>2021-09-01</v>
      </c>
      <c r="LP4" s="24">
        <v>14023</v>
      </c>
      <c r="LT4" s="8" t="d">
        <v>2021-10-01</v>
      </c>
      <c r="LV4" s="24">
        <v>2640</v>
      </c>
      <c r="LX4" s="36"/>
      <c r="MA4" s="4" t="d">
        <v>2022-03-01</v>
      </c>
      <c r="MC4" s="17">
        <v>1660</v>
      </c>
      <c r="MH4" s="4" t="d">
        <v>2022-04-01</v>
      </c>
      <c r="MJ4" s="22">
        <v>5423</v>
      </c>
      <c r="MN4" s="4" t="d">
        <v>2022-05-01</v>
      </c>
      <c r="MO4" s="4"/>
      <c r="MP4" s="17">
        <v>15717</v>
      </c>
      <c r="MT4" s="4" t="d">
        <v>2022-06-01</v>
      </c>
      <c r="MU4" s="21">
        <v>23065</v>
      </c>
      <c r="MW4" s="15"/>
      <c r="MZ4" s="4" t="d">
        <v>2022-07-01</v>
      </c>
      <c r="NB4" s="17">
        <v>60860</v>
      </c>
      <c r="NF4" s="4" t="d">
        <v>2022-08-01</v>
      </c>
      <c r="NH4" s="17">
        <v>37259</v>
      </c>
      <c r="NL4" s="4" t="d">
        <v>2022-09-01</v>
      </c>
      <c r="NN4" s="17">
        <v>14640</v>
      </c>
      <c r="NR4" s="4" t="d">
        <v>2022-10-01</v>
      </c>
      <c r="NT4" s="17">
        <v>2340</v>
      </c>
      <c r="NV4" s="36"/>
      <c r="NY4" s="4" t="d">
        <v>2023-03-01</v>
      </c>
      <c r="OA4" s="23">
        <v>0</v>
      </c>
      <c r="OF4" s="4" t="d">
        <v>2023-04-01</v>
      </c>
      <c r="OH4" s="48">
        <f>MJ3</f>
        <v>1925</v>
      </c>
      <c r="OL4" s="4" t="d">
        <v>2023-05-01</v>
      </c>
      <c r="ON4" s="23">
        <f>MP3</f>
        <v>14674</v>
      </c>
      <c r="OR4" s="4" t="d">
        <v>2023-06-01</v>
      </c>
      <c r="OS4" s="23">
        <v>30791</v>
      </c>
      <c r="OX4" s="4" t="d">
        <v>2023-07-01</v>
      </c>
      <c r="OZ4" s="23">
        <f>NB3</f>
        <v>27582</v>
      </c>
      <c r="PD4" s="4" t="d">
        <v>2023-08-01</v>
      </c>
      <c r="PF4" s="23">
        <f>NH3</f>
        <v>22948</v>
      </c>
      <c r="PJ4" s="4" t="d">
        <v>2023-09-01</v>
      </c>
      <c r="PL4" s="23">
        <f>NN3</f>
        <v>33945</v>
      </c>
      <c r="PP4" s="4" t="d">
        <v>2023-10-01</v>
      </c>
      <c r="PR4" s="23">
        <f>NT3</f>
        <v>6170</v>
      </c>
    </row>
    <row r="5" spans="1:434" x14ac:dyDescent="0.3">
      <c r="A5" s="34">
        <v>3</v>
      </c>
      <c r="C5" s="7"/>
      <c r="H5" s="34">
        <v>3</v>
      </c>
      <c r="J5" s="7"/>
      <c r="N5" s="34" t="s">
        <v>17</v>
      </c>
      <c r="P5" s="7"/>
      <c r="U5" s="34" t="s">
        <v>18</v>
      </c>
      <c r="W5" s="7">
        <v>80</v>
      </c>
      <c r="AB5" s="34" t="s">
        <v>19</v>
      </c>
      <c r="AD5" s="7">
        <v>185</v>
      </c>
      <c r="AI5" s="34" t="s">
        <v>20</v>
      </c>
      <c r="AK5" s="7">
        <v>645</v>
      </c>
      <c r="AO5" s="34" t="s">
        <v>19</v>
      </c>
      <c r="AQ5" s="7"/>
      <c r="AU5" s="34" t="s">
        <v>20</v>
      </c>
      <c r="AV5" s="7">
        <v>700</v>
      </c>
      <c r="AZ5" s="34" t="s">
        <v>12</v>
      </c>
      <c r="BA5" s="37">
        <v>3</v>
      </c>
      <c r="BB5" s="7">
        <v>170</v>
      </c>
      <c r="BF5" s="34" t="s">
        <v>13</v>
      </c>
      <c r="BG5" s="37">
        <v>3</v>
      </c>
      <c r="BH5" s="7">
        <v>320</v>
      </c>
      <c r="BL5" s="34" t="s">
        <v>10</v>
      </c>
      <c r="BM5" s="37">
        <v>3</v>
      </c>
      <c r="BN5" s="7"/>
      <c r="BR5" s="34" t="s">
        <v>13</v>
      </c>
      <c r="BS5" s="37">
        <v>3</v>
      </c>
      <c r="BT5" s="1"/>
      <c r="BX5" s="34" t="s">
        <v>10</v>
      </c>
      <c r="BY5" s="37">
        <v>3</v>
      </c>
      <c r="BZ5" s="7">
        <v>0</v>
      </c>
      <c r="CD5" s="34" t="s">
        <v>7</v>
      </c>
      <c r="CE5" s="37">
        <v>3</v>
      </c>
      <c r="CF5" s="7">
        <v>460</v>
      </c>
      <c r="CJ5" s="34" t="s">
        <v>8</v>
      </c>
      <c r="CK5" s="37">
        <v>3</v>
      </c>
      <c r="CL5" s="7">
        <v>645</v>
      </c>
      <c r="CN5" s="34" t="s">
        <v>12</v>
      </c>
      <c r="CO5" s="37">
        <v>3</v>
      </c>
      <c r="CP5" s="7"/>
      <c r="CT5" s="34" t="s">
        <v>11</v>
      </c>
      <c r="CU5" s="37">
        <v>3</v>
      </c>
      <c r="CV5" s="7"/>
      <c r="DA5" s="34" t="s">
        <v>6</v>
      </c>
      <c r="DB5" s="37">
        <v>3</v>
      </c>
      <c r="DC5" s="1"/>
      <c r="DG5" s="34" t="s">
        <v>7</v>
      </c>
      <c r="DH5" s="37">
        <v>3</v>
      </c>
      <c r="DI5" s="7">
        <v>1003</v>
      </c>
      <c r="DL5" s="34" t="s">
        <v>13</v>
      </c>
      <c r="DM5" s="37">
        <v>3</v>
      </c>
      <c r="DN5" s="7">
        <v>400</v>
      </c>
      <c r="DR5" s="34" t="s">
        <v>10</v>
      </c>
      <c r="DS5" s="37">
        <v>3</v>
      </c>
      <c r="DT5" s="7">
        <v>500</v>
      </c>
      <c r="DX5" s="34" t="s">
        <v>11</v>
      </c>
      <c r="DY5" s="37">
        <v>3</v>
      </c>
      <c r="DZ5" s="7">
        <v>170</v>
      </c>
      <c r="ED5" s="34" t="s">
        <v>8</v>
      </c>
      <c r="EE5" s="37">
        <v>3</v>
      </c>
      <c r="EF5" s="7"/>
      <c r="EK5" s="34" t="s">
        <v>7</v>
      </c>
      <c r="EL5" s="37">
        <v>3</v>
      </c>
      <c r="EM5" s="1"/>
      <c r="EQ5" s="34" t="s">
        <v>8</v>
      </c>
      <c r="ER5" s="37">
        <v>3</v>
      </c>
      <c r="ES5" s="7">
        <v>225</v>
      </c>
      <c r="EW5" s="34" t="s">
        <v>10</v>
      </c>
      <c r="EX5" s="37">
        <v>3</v>
      </c>
      <c r="EY5" s="7"/>
      <c r="FC5" s="34" t="s">
        <v>11</v>
      </c>
      <c r="FD5" s="37">
        <v>3</v>
      </c>
      <c r="FE5" s="7">
        <v>140</v>
      </c>
      <c r="FI5" s="34" t="s">
        <v>8</v>
      </c>
      <c r="FJ5" s="37">
        <v>3</v>
      </c>
      <c r="FK5" s="7">
        <v>665</v>
      </c>
      <c r="FL5" s="10">
        <v>400</v>
      </c>
      <c r="FO5" s="34" t="s">
        <v>12</v>
      </c>
      <c r="FP5" s="37">
        <v>3</v>
      </c>
      <c r="FQ5" s="7"/>
      <c r="FR5" s="12">
        <v>500</v>
      </c>
      <c r="FU5" s="34" t="s">
        <v>13</v>
      </c>
      <c r="FV5" s="37">
        <v>3</v>
      </c>
      <c r="FW5" s="7">
        <v>130</v>
      </c>
      <c r="FX5" s="12">
        <v>170</v>
      </c>
      <c r="GA5" s="34" t="s">
        <v>6</v>
      </c>
      <c r="GB5" s="37">
        <v>3</v>
      </c>
      <c r="GC5" s="7"/>
      <c r="GH5" s="34" t="s">
        <v>7</v>
      </c>
      <c r="GI5" s="37">
        <v>2</v>
      </c>
      <c r="GJ5" s="13"/>
      <c r="GN5" s="34" t="s">
        <v>8</v>
      </c>
      <c r="GO5" s="37">
        <v>2</v>
      </c>
      <c r="GP5" s="15"/>
      <c r="GT5" s="34" t="s">
        <v>10</v>
      </c>
      <c r="GU5" s="37">
        <v>2</v>
      </c>
      <c r="GV5" s="6"/>
      <c r="GW5" s="7"/>
      <c r="GZ5" s="34" t="s">
        <v>11</v>
      </c>
      <c r="HA5" s="37">
        <v>2</v>
      </c>
      <c r="HB5" s="15"/>
      <c r="HF5" s="34" t="s">
        <v>8</v>
      </c>
      <c r="HG5" s="37">
        <v>2</v>
      </c>
      <c r="HH5" s="15">
        <v>2480</v>
      </c>
      <c r="HI5" s="10"/>
      <c r="HL5" s="34" t="s">
        <v>12</v>
      </c>
      <c r="HM5" s="37">
        <v>2</v>
      </c>
      <c r="HN5" s="15">
        <v>1480</v>
      </c>
      <c r="HO5" s="12"/>
      <c r="HR5" s="34" t="s">
        <v>13</v>
      </c>
      <c r="HS5" s="37">
        <v>2</v>
      </c>
      <c r="HT5" s="15"/>
      <c r="HU5" s="12"/>
      <c r="HX5" s="34" t="s">
        <v>6</v>
      </c>
      <c r="HY5" s="37">
        <v>2</v>
      </c>
      <c r="HZ5" s="15"/>
      <c r="IJ5" s="34" t="s">
        <v>8</v>
      </c>
      <c r="IK5" s="37">
        <v>1</v>
      </c>
      <c r="IL5" s="6"/>
      <c r="IP5" s="34" t="s">
        <v>10</v>
      </c>
      <c r="IQ5" s="37">
        <v>1</v>
      </c>
      <c r="IR5" s="20">
        <v>50</v>
      </c>
      <c r="IT5" s="23"/>
      <c r="IV5" s="34" t="s">
        <v>11</v>
      </c>
      <c r="IW5" s="37">
        <v>1</v>
      </c>
      <c r="IX5" s="7">
        <v>740</v>
      </c>
      <c r="JA5" s="37"/>
      <c r="JB5" s="34" t="s">
        <v>8</v>
      </c>
      <c r="JC5" s="37">
        <v>1</v>
      </c>
      <c r="JD5" s="7">
        <v>750</v>
      </c>
      <c r="JH5" s="34" t="s">
        <v>12</v>
      </c>
      <c r="JI5" s="37">
        <v>1</v>
      </c>
      <c r="JJ5" s="7"/>
      <c r="JN5" s="34" t="s">
        <v>13</v>
      </c>
      <c r="JO5" s="37">
        <v>1</v>
      </c>
      <c r="JP5" s="7"/>
      <c r="JT5" s="34" t="s">
        <v>6</v>
      </c>
      <c r="JU5" s="37">
        <v>1</v>
      </c>
      <c r="JV5" s="7">
        <v>3505</v>
      </c>
      <c r="KA5" s="34" t="s">
        <v>13</v>
      </c>
      <c r="KB5" s="37">
        <v>1</v>
      </c>
      <c r="KC5" s="7">
        <v>675</v>
      </c>
      <c r="KH5" s="34" t="s">
        <v>10</v>
      </c>
      <c r="KI5" s="37">
        <v>1</v>
      </c>
      <c r="KJ5" s="4"/>
      <c r="KL5" s="27"/>
      <c r="KP5" s="4" t="d">
        <v>2020-05-01</v>
      </c>
      <c r="KQ5" s="4"/>
      <c r="KR5" s="25">
        <v>5463</v>
      </c>
      <c r="KV5" s="4" t="d">
        <v>2020-06-01</v>
      </c>
      <c r="KX5" s="25">
        <v>22545</v>
      </c>
      <c r="LB5" s="4" t="d">
        <v>2020-07-01</v>
      </c>
      <c r="LD5" s="25">
        <v>35960</v>
      </c>
      <c r="LE5" s="11"/>
      <c r="LH5" s="4" t="d">
        <v>2020-08-01</v>
      </c>
      <c r="LJ5" s="25">
        <v>34956</v>
      </c>
      <c r="LN5" s="8" t="d">
        <v>2020-09-01</v>
      </c>
      <c r="LP5" s="25">
        <v>18475</v>
      </c>
      <c r="LT5" s="8" t="d">
        <v>2020-10-01</v>
      </c>
      <c r="LV5" s="25">
        <f>LT39</f>
        <v>0</v>
      </c>
      <c r="LX5" s="36"/>
      <c r="MA5" s="4" t="d">
        <v>2021-03-01</v>
      </c>
      <c r="MC5" s="24">
        <v>600</v>
      </c>
      <c r="MH5" s="4" t="d">
        <v>2021-04-01</v>
      </c>
      <c r="MJ5" s="26">
        <v>8089</v>
      </c>
      <c r="MN5" s="4" t="d">
        <v>2021-05-01</v>
      </c>
      <c r="MO5" s="4"/>
      <c r="MP5" s="24">
        <v>8530</v>
      </c>
      <c r="MT5" s="4" t="d">
        <v>2021-06-01</v>
      </c>
      <c r="MU5" s="24">
        <v>16555</v>
      </c>
      <c r="MZ5" s="8" t="d">
        <v>2021-07-01</v>
      </c>
      <c r="NB5" s="24">
        <v>11789</v>
      </c>
      <c r="NC5" s="1"/>
      <c r="NF5" s="8" t="d">
        <v>2021-08-01</v>
      </c>
      <c r="NH5" s="24">
        <v>15109</v>
      </c>
      <c r="NL5" s="4" t="d">
        <v>2021-09-01</v>
      </c>
      <c r="NN5" s="24">
        <v>14023</v>
      </c>
      <c r="NR5" s="8" t="d">
        <v>2021-10-01</v>
      </c>
      <c r="NT5" s="24">
        <v>2640</v>
      </c>
      <c r="NV5" s="36"/>
      <c r="NY5" s="4" t="d">
        <v>2022-03-01</v>
      </c>
      <c r="OA5" s="17">
        <v>1660</v>
      </c>
      <c r="OF5" s="4" t="d">
        <v>2022-04-01</v>
      </c>
      <c r="OH5" s="22">
        <v>5423</v>
      </c>
      <c r="OL5" s="4" t="d">
        <v>2022-05-01</v>
      </c>
      <c r="OM5" s="4"/>
      <c r="ON5" s="17">
        <v>15717</v>
      </c>
      <c r="OR5" s="4" t="d">
        <v>2022-06-01</v>
      </c>
      <c r="OS5" s="21">
        <v>23065</v>
      </c>
      <c r="OU5" s="15"/>
      <c r="OX5" s="4" t="d">
        <v>2022-07-01</v>
      </c>
      <c r="OZ5" s="17">
        <v>60860</v>
      </c>
      <c r="PD5" s="4" t="d">
        <v>2022-08-01</v>
      </c>
      <c r="PF5" s="17">
        <v>37259</v>
      </c>
      <c r="PJ5" s="4" t="d">
        <v>2022-09-01</v>
      </c>
      <c r="PL5" s="17">
        <v>14640</v>
      </c>
      <c r="PP5" s="4" t="d">
        <v>2022-10-01</v>
      </c>
      <c r="PR5" s="17">
        <v>2340</v>
      </c>
    </row>
    <row r="6" spans="1:434" x14ac:dyDescent="0.3">
      <c r="A6" s="34">
        <v>4</v>
      </c>
      <c r="C6" s="7"/>
      <c r="H6" s="34">
        <v>4</v>
      </c>
      <c r="J6" s="7"/>
      <c r="N6" s="34" t="s">
        <v>21</v>
      </c>
      <c r="P6" s="7">
        <v>0</v>
      </c>
      <c r="U6" s="38" t="s">
        <v>22</v>
      </c>
      <c r="W6" s="7">
        <v>45</v>
      </c>
      <c r="AB6" s="34" t="s">
        <v>23</v>
      </c>
      <c r="AD6" s="7">
        <v>185</v>
      </c>
      <c r="AI6" s="34" t="s">
        <v>24</v>
      </c>
      <c r="AK6" s="7">
        <v>20</v>
      </c>
      <c r="AO6" s="34" t="s">
        <v>23</v>
      </c>
      <c r="AQ6" s="7"/>
      <c r="AU6" s="34" t="s">
        <v>24</v>
      </c>
      <c r="AV6" s="7">
        <v>10</v>
      </c>
      <c r="AZ6" s="34" t="s">
        <v>7</v>
      </c>
      <c r="BA6" s="37">
        <v>4</v>
      </c>
      <c r="BB6" s="7">
        <v>235</v>
      </c>
      <c r="BF6" s="34" t="s">
        <v>8</v>
      </c>
      <c r="BG6" s="37">
        <v>4</v>
      </c>
      <c r="BH6" s="7">
        <v>1235</v>
      </c>
      <c r="BL6" s="34" t="s">
        <v>12</v>
      </c>
      <c r="BM6" s="37">
        <v>4</v>
      </c>
      <c r="BN6" s="7">
        <v>135</v>
      </c>
      <c r="BR6" s="34" t="s">
        <v>8</v>
      </c>
      <c r="BS6" s="37">
        <v>4</v>
      </c>
      <c r="BT6" s="7"/>
      <c r="BX6" s="34" t="s">
        <v>12</v>
      </c>
      <c r="BY6" s="37">
        <v>4</v>
      </c>
      <c r="BZ6" s="7"/>
      <c r="CD6" s="34" t="s">
        <v>11</v>
      </c>
      <c r="CE6" s="37">
        <v>4</v>
      </c>
      <c r="CF6" s="7">
        <v>385</v>
      </c>
      <c r="CJ6" s="34" t="s">
        <v>6</v>
      </c>
      <c r="CK6" s="37">
        <v>4</v>
      </c>
      <c r="CL6" s="7">
        <v>1556</v>
      </c>
      <c r="CN6" s="34" t="s">
        <v>7</v>
      </c>
      <c r="CO6" s="37">
        <v>4</v>
      </c>
      <c r="CP6" s="7">
        <v>115</v>
      </c>
      <c r="CT6" s="34" t="s">
        <v>13</v>
      </c>
      <c r="CU6" s="37">
        <v>4</v>
      </c>
      <c r="CV6" s="7"/>
      <c r="DA6" s="34" t="s">
        <v>10</v>
      </c>
      <c r="DB6" s="37">
        <v>4</v>
      </c>
      <c r="DC6" s="7"/>
      <c r="DG6" s="34" t="s">
        <v>11</v>
      </c>
      <c r="DH6" s="37">
        <v>4</v>
      </c>
      <c r="DI6" s="7"/>
      <c r="DL6" s="34" t="s">
        <v>8</v>
      </c>
      <c r="DM6" s="37">
        <v>4</v>
      </c>
      <c r="DN6" s="7">
        <v>614</v>
      </c>
      <c r="DR6" s="34" t="s">
        <v>12</v>
      </c>
      <c r="DS6" s="37">
        <v>4</v>
      </c>
      <c r="DT6" s="7">
        <v>736</v>
      </c>
      <c r="DX6" s="34" t="s">
        <v>13</v>
      </c>
      <c r="DY6" s="37">
        <v>4</v>
      </c>
      <c r="DZ6" s="7">
        <v>650</v>
      </c>
      <c r="ED6" s="34" t="s">
        <v>6</v>
      </c>
      <c r="EE6" s="37">
        <v>4</v>
      </c>
      <c r="EF6" s="7"/>
      <c r="EK6" s="34" t="s">
        <v>11</v>
      </c>
      <c r="EL6" s="37">
        <v>4</v>
      </c>
      <c r="EM6" s="7"/>
      <c r="EQ6" s="34" t="s">
        <v>6</v>
      </c>
      <c r="ER6" s="37">
        <v>4</v>
      </c>
      <c r="ES6" s="7">
        <v>440</v>
      </c>
      <c r="EW6" s="34" t="s">
        <v>12</v>
      </c>
      <c r="EX6" s="37">
        <v>4</v>
      </c>
      <c r="EY6" s="7"/>
      <c r="FC6" s="34" t="s">
        <v>13</v>
      </c>
      <c r="FD6" s="37">
        <v>4</v>
      </c>
      <c r="FE6" s="7"/>
      <c r="FI6" s="34" t="s">
        <v>6</v>
      </c>
      <c r="FJ6" s="37">
        <v>4</v>
      </c>
      <c r="FK6" s="7">
        <v>520</v>
      </c>
      <c r="FL6" s="10">
        <v>614</v>
      </c>
      <c r="FO6" s="34" t="s">
        <v>7</v>
      </c>
      <c r="FP6" s="37">
        <v>4</v>
      </c>
      <c r="FQ6" s="7"/>
      <c r="FR6" s="12">
        <v>736</v>
      </c>
      <c r="FU6" s="34" t="s">
        <v>8</v>
      </c>
      <c r="FV6" s="37">
        <v>4</v>
      </c>
      <c r="FW6" s="7">
        <v>1189</v>
      </c>
      <c r="FX6" s="12">
        <v>650</v>
      </c>
      <c r="GA6" s="34" t="s">
        <v>10</v>
      </c>
      <c r="GB6" s="37">
        <v>4</v>
      </c>
      <c r="GC6" s="7"/>
      <c r="GH6" s="34" t="s">
        <v>11</v>
      </c>
      <c r="GI6" s="37">
        <v>3</v>
      </c>
      <c r="GJ6" s="13"/>
      <c r="GN6" s="34" t="s">
        <v>6</v>
      </c>
      <c r="GO6" s="37">
        <v>3</v>
      </c>
      <c r="GP6" s="15">
        <v>170</v>
      </c>
      <c r="GT6" s="34" t="s">
        <v>12</v>
      </c>
      <c r="GU6" s="37">
        <v>3</v>
      </c>
      <c r="GV6" s="6"/>
      <c r="GW6" s="7"/>
      <c r="GZ6" s="34" t="s">
        <v>13</v>
      </c>
      <c r="HA6" s="37">
        <v>3</v>
      </c>
      <c r="HB6" s="15"/>
      <c r="HF6" s="34" t="s">
        <v>6</v>
      </c>
      <c r="HG6" s="37">
        <v>3</v>
      </c>
      <c r="HH6" s="15">
        <v>3880</v>
      </c>
      <c r="HI6" s="10"/>
      <c r="HL6" s="34" t="s">
        <v>7</v>
      </c>
      <c r="HM6" s="37">
        <v>3</v>
      </c>
      <c r="HN6" s="15">
        <v>1804</v>
      </c>
      <c r="HO6" s="12"/>
      <c r="HR6" s="34" t="s">
        <v>8</v>
      </c>
      <c r="HS6" s="37">
        <v>3</v>
      </c>
      <c r="HT6" s="15">
        <v>1500</v>
      </c>
      <c r="HU6" s="12"/>
      <c r="HX6" s="34" t="s">
        <v>10</v>
      </c>
      <c r="HY6" s="37">
        <v>3</v>
      </c>
      <c r="HZ6" s="15"/>
      <c r="IJ6" s="34" t="s">
        <v>6</v>
      </c>
      <c r="IK6" s="37">
        <v>2</v>
      </c>
      <c r="IL6" s="6"/>
      <c r="IP6" s="34" t="s">
        <v>12</v>
      </c>
      <c r="IQ6" s="37">
        <v>2</v>
      </c>
      <c r="IR6" s="6">
        <v>250</v>
      </c>
      <c r="IV6" s="34" t="s">
        <v>13</v>
      </c>
      <c r="IW6" s="37">
        <v>2</v>
      </c>
      <c r="IX6" s="7">
        <v>150</v>
      </c>
      <c r="JA6" s="37"/>
      <c r="JB6" s="34" t="s">
        <v>6</v>
      </c>
      <c r="JC6" s="37">
        <v>2</v>
      </c>
      <c r="JD6" s="7">
        <v>3375</v>
      </c>
      <c r="JH6" s="34" t="s">
        <v>7</v>
      </c>
      <c r="JI6" s="37">
        <v>2</v>
      </c>
      <c r="JJ6" s="7"/>
      <c r="JN6" s="34" t="s">
        <v>8</v>
      </c>
      <c r="JO6" s="37">
        <v>2</v>
      </c>
      <c r="JP6" s="7">
        <v>2750</v>
      </c>
      <c r="JT6" s="34" t="s">
        <v>10</v>
      </c>
      <c r="JU6" s="37">
        <v>2</v>
      </c>
      <c r="JV6" s="7"/>
      <c r="KA6" s="34" t="s">
        <v>8</v>
      </c>
      <c r="KB6" s="37">
        <v>2</v>
      </c>
      <c r="KC6" s="7"/>
      <c r="KH6" s="34" t="s">
        <v>12</v>
      </c>
      <c r="KI6" s="37">
        <v>2</v>
      </c>
      <c r="KJ6" s="7"/>
      <c r="KN6" s="34" t="s">
        <v>7</v>
      </c>
      <c r="KO6" s="37">
        <v>1</v>
      </c>
      <c r="KP6" s="7">
        <v>530</v>
      </c>
      <c r="KT6" s="34" t="s">
        <v>8</v>
      </c>
      <c r="KU6" s="37">
        <v>1</v>
      </c>
      <c r="KV6" s="7"/>
      <c r="KZ6" s="34" t="s">
        <v>10</v>
      </c>
      <c r="LA6" s="37">
        <v>1</v>
      </c>
      <c r="LB6" s="7">
        <v>156</v>
      </c>
      <c r="LF6" s="34" t="s">
        <v>11</v>
      </c>
      <c r="LG6" s="37">
        <v>1</v>
      </c>
      <c r="LH6" s="7">
        <v>1823</v>
      </c>
      <c r="LL6" s="34" t="s">
        <v>6</v>
      </c>
      <c r="LM6" s="37">
        <v>1</v>
      </c>
      <c r="LN6" s="7">
        <v>4280</v>
      </c>
      <c r="LR6" s="34" t="s">
        <v>12</v>
      </c>
      <c r="LS6" s="37">
        <v>1</v>
      </c>
      <c r="LT6" s="7"/>
      <c r="LX6" s="36"/>
      <c r="LY6" s="34"/>
      <c r="LZ6" s="37"/>
      <c r="MA6" s="7"/>
      <c r="MJ6" s="27"/>
      <c r="MN6" s="4" t="d">
        <v>2020-05-01</v>
      </c>
      <c r="MO6" s="4"/>
      <c r="MP6" s="25">
        <v>5463</v>
      </c>
      <c r="MT6" s="4" t="d">
        <v>2020-06-01</v>
      </c>
      <c r="MU6" s="25">
        <v>22545</v>
      </c>
      <c r="MZ6" s="4" t="d">
        <v>2020-07-01</v>
      </c>
      <c r="NB6" s="25">
        <v>35960</v>
      </c>
      <c r="NC6" s="11"/>
      <c r="NF6" s="4" t="d">
        <v>2020-08-01</v>
      </c>
      <c r="NH6" s="25">
        <v>34956</v>
      </c>
      <c r="NL6" s="8" t="d">
        <v>2020-09-01</v>
      </c>
      <c r="NN6" s="25">
        <v>18475</v>
      </c>
      <c r="NR6" s="8" t="d">
        <v>2020-10-01</v>
      </c>
      <c r="NT6" s="25">
        <f>NR40</f>
        <v>0</v>
      </c>
      <c r="NV6" s="36"/>
      <c r="NY6" s="4" t="d">
        <v>2021-03-01</v>
      </c>
      <c r="OA6" s="24">
        <v>600</v>
      </c>
      <c r="OF6" s="4" t="d">
        <v>2021-04-01</v>
      </c>
      <c r="OH6" s="26">
        <v>8089</v>
      </c>
      <c r="OL6" s="4" t="d">
        <v>2021-05-01</v>
      </c>
      <c r="OM6" s="4"/>
      <c r="ON6" s="24">
        <v>8530</v>
      </c>
      <c r="OR6" s="4" t="d">
        <v>2021-06-01</v>
      </c>
      <c r="OS6" s="24">
        <v>16555</v>
      </c>
      <c r="OX6" s="8" t="d">
        <v>2021-07-01</v>
      </c>
      <c r="OZ6" s="24">
        <v>11789</v>
      </c>
      <c r="PA6" s="1"/>
      <c r="PD6" s="8" t="d">
        <v>2021-08-01</v>
      </c>
      <c r="PF6" s="24">
        <v>15109</v>
      </c>
      <c r="PJ6" s="4" t="d">
        <v>2021-09-01</v>
      </c>
      <c r="PL6" s="24">
        <v>14023</v>
      </c>
      <c r="PP6" s="8" t="d">
        <v>2021-10-01</v>
      </c>
      <c r="PR6" s="24">
        <v>2640</v>
      </c>
    </row>
    <row r="7" spans="1:434" x14ac:dyDescent="0.3">
      <c r="A7" s="34">
        <v>5</v>
      </c>
      <c r="C7" s="7"/>
      <c r="H7" s="34">
        <v>5</v>
      </c>
      <c r="J7" s="7"/>
      <c r="N7" s="34">
        <v>5</v>
      </c>
      <c r="P7" s="7">
        <v>70</v>
      </c>
      <c r="U7" s="34" t="s">
        <v>25</v>
      </c>
      <c r="W7" s="7">
        <v>260</v>
      </c>
      <c r="AB7" s="34" t="s">
        <v>26</v>
      </c>
      <c r="AD7" s="7">
        <v>265</v>
      </c>
      <c r="AI7" s="38" t="s">
        <v>27</v>
      </c>
      <c r="AK7" s="7"/>
      <c r="AO7" s="34" t="s">
        <v>26</v>
      </c>
      <c r="AQ7" s="7">
        <v>60</v>
      </c>
      <c r="AU7" s="38" t="s">
        <v>27</v>
      </c>
      <c r="AV7" s="7">
        <v>0</v>
      </c>
      <c r="AZ7" s="34" t="s">
        <v>11</v>
      </c>
      <c r="BA7" s="37">
        <v>5</v>
      </c>
      <c r="BB7" s="7">
        <v>160</v>
      </c>
      <c r="BF7" s="34" t="s">
        <v>6</v>
      </c>
      <c r="BG7" s="37">
        <v>5</v>
      </c>
      <c r="BH7" s="7">
        <v>1470</v>
      </c>
      <c r="BL7" s="34" t="s">
        <v>7</v>
      </c>
      <c r="BM7" s="37">
        <v>5</v>
      </c>
      <c r="BN7" s="7">
        <v>140</v>
      </c>
      <c r="BR7" s="34" t="s">
        <v>6</v>
      </c>
      <c r="BS7" s="37">
        <v>5</v>
      </c>
      <c r="BT7" s="1"/>
      <c r="BX7" s="34" t="s">
        <v>7</v>
      </c>
      <c r="BY7" s="37">
        <v>5</v>
      </c>
      <c r="BZ7" s="7">
        <v>0</v>
      </c>
      <c r="CD7" s="34" t="s">
        <v>13</v>
      </c>
      <c r="CE7" s="37">
        <v>5</v>
      </c>
      <c r="CF7" s="7">
        <v>680</v>
      </c>
      <c r="CJ7" s="34" t="s">
        <v>10</v>
      </c>
      <c r="CK7" s="37">
        <v>5</v>
      </c>
      <c r="CL7" s="7">
        <v>325</v>
      </c>
      <c r="CN7" s="34" t="s">
        <v>11</v>
      </c>
      <c r="CO7" s="37">
        <v>5</v>
      </c>
      <c r="CP7" s="7"/>
      <c r="CT7" s="34" t="s">
        <v>8</v>
      </c>
      <c r="CU7" s="37">
        <v>5</v>
      </c>
      <c r="CV7" s="7"/>
      <c r="DA7" s="34" t="s">
        <v>12</v>
      </c>
      <c r="DB7" s="37">
        <v>5</v>
      </c>
      <c r="DC7" s="1"/>
      <c r="DG7" s="34" t="s">
        <v>13</v>
      </c>
      <c r="DH7" s="37">
        <v>5</v>
      </c>
      <c r="DI7" s="7"/>
      <c r="DL7" s="34" t="s">
        <v>6</v>
      </c>
      <c r="DM7" s="37">
        <v>5</v>
      </c>
      <c r="DN7" s="7">
        <v>1838</v>
      </c>
      <c r="DR7" s="34" t="s">
        <v>7</v>
      </c>
      <c r="DS7" s="37">
        <v>5</v>
      </c>
      <c r="DT7" s="7">
        <v>1043</v>
      </c>
      <c r="DX7" s="34" t="s">
        <v>8</v>
      </c>
      <c r="DY7" s="37">
        <v>5</v>
      </c>
      <c r="DZ7" s="7">
        <v>620</v>
      </c>
      <c r="ED7" s="34" t="s">
        <v>10</v>
      </c>
      <c r="EE7" s="37">
        <v>5</v>
      </c>
      <c r="EF7" s="7"/>
      <c r="EK7" s="34" t="s">
        <v>13</v>
      </c>
      <c r="EL7" s="37">
        <v>5</v>
      </c>
      <c r="EM7" s="1"/>
      <c r="EQ7" s="34" t="s">
        <v>10</v>
      </c>
      <c r="ER7" s="37">
        <v>5</v>
      </c>
      <c r="ES7" s="7"/>
      <c r="EW7" s="34" t="s">
        <v>7</v>
      </c>
      <c r="EX7" s="37">
        <v>5</v>
      </c>
      <c r="EY7" s="7"/>
      <c r="FC7" s="34" t="s">
        <v>8</v>
      </c>
      <c r="FD7" s="37">
        <v>5</v>
      </c>
      <c r="FE7" s="7">
        <v>200</v>
      </c>
      <c r="FI7" s="34" t="s">
        <v>10</v>
      </c>
      <c r="FJ7" s="37">
        <v>5</v>
      </c>
      <c r="FK7" s="7">
        <v>20</v>
      </c>
      <c r="FL7" s="10">
        <v>1838</v>
      </c>
      <c r="FO7" s="34" t="s">
        <v>11</v>
      </c>
      <c r="FP7" s="37">
        <v>5</v>
      </c>
      <c r="FQ7" s="7">
        <v>160</v>
      </c>
      <c r="FR7" s="12">
        <v>1043</v>
      </c>
      <c r="FU7" s="34" t="s">
        <v>6</v>
      </c>
      <c r="FV7" s="37">
        <v>5</v>
      </c>
      <c r="FW7" s="7">
        <v>4201</v>
      </c>
      <c r="FX7" s="12">
        <v>620</v>
      </c>
      <c r="GA7" s="34" t="s">
        <v>12</v>
      </c>
      <c r="GB7" s="37">
        <v>5</v>
      </c>
      <c r="GC7" s="7"/>
      <c r="GH7" s="34" t="s">
        <v>13</v>
      </c>
      <c r="GI7" s="37">
        <v>4</v>
      </c>
      <c r="GJ7" s="13"/>
      <c r="GN7" s="34" t="s">
        <v>10</v>
      </c>
      <c r="GO7" s="37">
        <v>4</v>
      </c>
      <c r="GP7" s="15"/>
      <c r="GT7" s="34" t="s">
        <v>7</v>
      </c>
      <c r="GU7" s="37">
        <v>4</v>
      </c>
      <c r="GV7" s="6"/>
      <c r="GW7" s="7"/>
      <c r="GZ7" s="34" t="s">
        <v>8</v>
      </c>
      <c r="HA7" s="37">
        <v>4</v>
      </c>
      <c r="HB7" s="15">
        <v>1018</v>
      </c>
      <c r="HF7" s="34" t="s">
        <v>10</v>
      </c>
      <c r="HG7" s="37">
        <v>4</v>
      </c>
      <c r="HH7" s="15">
        <v>2533</v>
      </c>
      <c r="HI7" s="10"/>
      <c r="HL7" s="34" t="s">
        <v>11</v>
      </c>
      <c r="HM7" s="37">
        <v>4</v>
      </c>
      <c r="HN7" s="15">
        <v>450</v>
      </c>
      <c r="HO7" s="12"/>
      <c r="HR7" s="34" t="s">
        <v>6</v>
      </c>
      <c r="HS7" s="37">
        <v>4</v>
      </c>
      <c r="HT7" s="15">
        <v>4380</v>
      </c>
      <c r="HU7" s="12"/>
      <c r="HX7" s="34" t="s">
        <v>12</v>
      </c>
      <c r="HY7" s="37">
        <v>4</v>
      </c>
      <c r="HZ7" s="15">
        <v>1320</v>
      </c>
      <c r="IJ7" s="34" t="s">
        <v>10</v>
      </c>
      <c r="IK7" s="37">
        <v>3</v>
      </c>
      <c r="IL7" s="6"/>
      <c r="IP7" s="34" t="s">
        <v>7</v>
      </c>
      <c r="IQ7" s="37">
        <v>3</v>
      </c>
      <c r="IR7" s="6"/>
      <c r="IV7" s="34" t="s">
        <v>8</v>
      </c>
      <c r="IW7" s="37">
        <v>3</v>
      </c>
      <c r="IX7" s="7">
        <v>1790</v>
      </c>
      <c r="JA7" s="37"/>
      <c r="JB7" s="34" t="s">
        <v>10</v>
      </c>
      <c r="JC7" s="37">
        <v>3</v>
      </c>
      <c r="JD7" s="7">
        <v>60</v>
      </c>
      <c r="JH7" s="34" t="s">
        <v>11</v>
      </c>
      <c r="JI7" s="37">
        <v>3</v>
      </c>
      <c r="JJ7" s="7"/>
      <c r="JN7" s="34" t="s">
        <v>6</v>
      </c>
      <c r="JO7" s="37">
        <v>3</v>
      </c>
      <c r="JP7" s="7">
        <v>5350</v>
      </c>
      <c r="JT7" s="34" t="s">
        <v>12</v>
      </c>
      <c r="JU7" s="37">
        <v>3</v>
      </c>
      <c r="JV7" s="7"/>
      <c r="KA7" s="34" t="s">
        <v>6</v>
      </c>
      <c r="KB7" s="37">
        <v>3</v>
      </c>
      <c r="KC7" s="7"/>
      <c r="KH7" s="34" t="s">
        <v>7</v>
      </c>
      <c r="KI7" s="37">
        <v>3</v>
      </c>
      <c r="KJ7" s="7"/>
      <c r="KN7" s="34" t="s">
        <v>11</v>
      </c>
      <c r="KO7" s="37">
        <v>2</v>
      </c>
      <c r="KP7" s="7"/>
      <c r="KT7" s="34" t="s">
        <v>6</v>
      </c>
      <c r="KU7" s="37">
        <v>2</v>
      </c>
      <c r="KV7" s="7">
        <v>205</v>
      </c>
      <c r="KZ7" s="34" t="s">
        <v>12</v>
      </c>
      <c r="LA7" s="37">
        <v>2</v>
      </c>
      <c r="LB7" s="7">
        <v>112.5</v>
      </c>
      <c r="LF7" s="34" t="s">
        <v>13</v>
      </c>
      <c r="LG7" s="37">
        <v>2</v>
      </c>
      <c r="LH7" s="7">
        <v>652</v>
      </c>
      <c r="LL7" s="34" t="s">
        <v>10</v>
      </c>
      <c r="LM7" s="37">
        <v>2</v>
      </c>
      <c r="LN7" s="7">
        <v>285</v>
      </c>
      <c r="LR7" s="34" t="s">
        <v>7</v>
      </c>
      <c r="LS7" s="37">
        <v>2</v>
      </c>
      <c r="LT7" s="7"/>
      <c r="LX7" s="36"/>
      <c r="LY7" s="34" t="s">
        <v>8</v>
      </c>
      <c r="LZ7" s="37">
        <v>1</v>
      </c>
      <c r="MA7" s="7"/>
      <c r="MF7" s="34" t="s">
        <v>12</v>
      </c>
      <c r="MG7" s="37">
        <v>1</v>
      </c>
      <c r="MH7" s="4"/>
      <c r="ML7" s="34" t="s">
        <v>11</v>
      </c>
      <c r="MM7" s="37">
        <v>1</v>
      </c>
      <c r="MN7" s="7">
        <v>5700</v>
      </c>
      <c r="MR7" s="34" t="s">
        <v>6</v>
      </c>
      <c r="MS7" s="37">
        <v>1</v>
      </c>
      <c r="MT7" s="7">
        <v>1770</v>
      </c>
      <c r="MX7" s="34" t="s">
        <v>12</v>
      </c>
      <c r="MY7" s="37">
        <v>1</v>
      </c>
      <c r="MZ7" s="7">
        <v>1413</v>
      </c>
      <c r="ND7" s="34" t="s">
        <v>13</v>
      </c>
      <c r="NE7" s="37">
        <v>1</v>
      </c>
      <c r="NF7" s="7">
        <v>270</v>
      </c>
      <c r="NJ7" s="34" t="s">
        <v>10</v>
      </c>
      <c r="NK7" s="37">
        <v>1</v>
      </c>
      <c r="NL7" s="7"/>
      <c r="NP7" s="34" t="s">
        <v>7</v>
      </c>
      <c r="NQ7" s="37">
        <v>1</v>
      </c>
      <c r="NR7" s="7">
        <v>108</v>
      </c>
      <c r="NV7" s="36"/>
      <c r="OL7" s="4" t="d">
        <v>2020-05-01</v>
      </c>
      <c r="OM7" s="4"/>
      <c r="ON7" s="25">
        <v>5463</v>
      </c>
      <c r="OR7" s="4" t="d">
        <v>2020-06-01</v>
      </c>
      <c r="OS7" s="25">
        <v>22545</v>
      </c>
      <c r="OX7" s="4" t="d">
        <v>2020-07-01</v>
      </c>
      <c r="OZ7" s="25">
        <v>35960</v>
      </c>
      <c r="PA7" s="11"/>
      <c r="PD7" s="4" t="d">
        <v>2020-08-01</v>
      </c>
      <c r="PF7" s="25">
        <v>34956</v>
      </c>
      <c r="PJ7" s="8" t="d">
        <v>2020-09-01</v>
      </c>
      <c r="PL7" s="25">
        <v>18475</v>
      </c>
      <c r="PP7" s="8" t="d">
        <v>2020-10-01</v>
      </c>
      <c r="PR7" s="25">
        <f>PP41</f>
        <v>0</v>
      </c>
    </row>
    <row r="8" spans="1:434" x14ac:dyDescent="0.3">
      <c r="A8" s="34">
        <v>6</v>
      </c>
      <c r="C8" s="7"/>
      <c r="H8" s="34" t="s">
        <v>28</v>
      </c>
      <c r="J8" s="7"/>
      <c r="N8" s="34">
        <v>6</v>
      </c>
      <c r="P8" s="7"/>
      <c r="U8" s="34" t="s">
        <v>29</v>
      </c>
      <c r="W8" s="7">
        <v>70</v>
      </c>
      <c r="AB8" s="34" t="s">
        <v>30</v>
      </c>
      <c r="AD8" s="7">
        <v>730</v>
      </c>
      <c r="AI8" s="34" t="s">
        <v>31</v>
      </c>
      <c r="AK8" s="7"/>
      <c r="AO8" s="34" t="s">
        <v>30</v>
      </c>
      <c r="AQ8" s="7">
        <v>475</v>
      </c>
      <c r="AU8" s="34" t="s">
        <v>31</v>
      </c>
      <c r="AV8" s="7">
        <v>0</v>
      </c>
      <c r="AZ8" s="34" t="s">
        <v>13</v>
      </c>
      <c r="BA8" s="37">
        <v>6</v>
      </c>
      <c r="BB8" s="7">
        <v>70</v>
      </c>
      <c r="BF8" s="34" t="s">
        <v>10</v>
      </c>
      <c r="BG8" s="37">
        <v>6</v>
      </c>
      <c r="BH8" s="7">
        <v>220</v>
      </c>
      <c r="BL8" s="34" t="s">
        <v>11</v>
      </c>
      <c r="BM8" s="37">
        <v>6</v>
      </c>
      <c r="BN8" s="7"/>
      <c r="BR8" s="34" t="s">
        <v>10</v>
      </c>
      <c r="BS8" s="37">
        <v>6</v>
      </c>
      <c r="BT8" s="1"/>
      <c r="BX8" s="34" t="s">
        <v>11</v>
      </c>
      <c r="BY8" s="37">
        <v>6</v>
      </c>
      <c r="BZ8" s="7">
        <v>0</v>
      </c>
      <c r="CD8" s="34" t="s">
        <v>8</v>
      </c>
      <c r="CE8" s="37">
        <v>6</v>
      </c>
      <c r="CF8" s="7">
        <v>2200</v>
      </c>
      <c r="CJ8" s="34" t="s">
        <v>12</v>
      </c>
      <c r="CK8" s="37">
        <v>6</v>
      </c>
      <c r="CL8" s="7">
        <v>190</v>
      </c>
      <c r="CM8" s="7"/>
      <c r="CN8" s="34" t="s">
        <v>13</v>
      </c>
      <c r="CO8" s="37">
        <v>6</v>
      </c>
      <c r="CP8" s="7">
        <v>528</v>
      </c>
      <c r="CT8" s="34" t="s">
        <v>6</v>
      </c>
      <c r="CU8" s="37">
        <v>6</v>
      </c>
      <c r="CV8" s="7"/>
      <c r="DA8" s="34" t="s">
        <v>7</v>
      </c>
      <c r="DB8" s="37">
        <v>6</v>
      </c>
      <c r="DC8" s="1"/>
      <c r="DG8" s="34" t="s">
        <v>8</v>
      </c>
      <c r="DH8" s="37">
        <v>6</v>
      </c>
      <c r="DI8" s="7">
        <v>400</v>
      </c>
      <c r="DL8" s="34" t="s">
        <v>10</v>
      </c>
      <c r="DM8" s="37">
        <v>6</v>
      </c>
      <c r="DN8" s="7">
        <v>400</v>
      </c>
      <c r="DR8" s="34" t="s">
        <v>11</v>
      </c>
      <c r="DS8" s="37">
        <v>6</v>
      </c>
      <c r="DT8" s="7">
        <v>1771</v>
      </c>
      <c r="DX8" s="34" t="s">
        <v>6</v>
      </c>
      <c r="DY8" s="37">
        <v>6</v>
      </c>
      <c r="DZ8" s="7">
        <v>1012</v>
      </c>
      <c r="ED8" s="34" t="s">
        <v>12</v>
      </c>
      <c r="EE8" s="37">
        <v>6</v>
      </c>
      <c r="EF8" s="7"/>
      <c r="EK8" s="34" t="s">
        <v>8</v>
      </c>
      <c r="EL8" s="37">
        <v>6</v>
      </c>
      <c r="EM8" s="1"/>
      <c r="EQ8" s="34" t="s">
        <v>12</v>
      </c>
      <c r="ER8" s="37">
        <v>6</v>
      </c>
      <c r="ES8" s="7"/>
      <c r="EW8" s="34" t="s">
        <v>11</v>
      </c>
      <c r="EX8" s="37">
        <v>6</v>
      </c>
      <c r="EY8" s="7"/>
      <c r="FC8" s="34" t="s">
        <v>6</v>
      </c>
      <c r="FD8" s="37">
        <v>6</v>
      </c>
      <c r="FE8" s="7">
        <v>2260</v>
      </c>
      <c r="FI8" s="34" t="s">
        <v>12</v>
      </c>
      <c r="FJ8" s="37">
        <v>6</v>
      </c>
      <c r="FK8" s="7">
        <v>70</v>
      </c>
      <c r="FL8" s="10">
        <v>400</v>
      </c>
      <c r="FO8" s="34" t="s">
        <v>13</v>
      </c>
      <c r="FP8" s="37">
        <v>6</v>
      </c>
      <c r="FQ8" s="7"/>
      <c r="FR8" s="12">
        <v>1771</v>
      </c>
      <c r="FU8" s="34" t="s">
        <v>10</v>
      </c>
      <c r="FV8" s="37">
        <v>6</v>
      </c>
      <c r="FW8" s="7">
        <v>300</v>
      </c>
      <c r="FX8" s="12">
        <v>1012</v>
      </c>
      <c r="GA8" s="34" t="s">
        <v>7</v>
      </c>
      <c r="GB8" s="37">
        <v>6</v>
      </c>
      <c r="GC8" s="7"/>
      <c r="GH8" s="34" t="s">
        <v>8</v>
      </c>
      <c r="GI8" s="37">
        <v>5</v>
      </c>
      <c r="GJ8" s="13"/>
      <c r="GN8" s="34" t="s">
        <v>12</v>
      </c>
      <c r="GO8" s="37">
        <v>5</v>
      </c>
      <c r="GP8" s="15"/>
      <c r="GT8" s="34" t="s">
        <v>11</v>
      </c>
      <c r="GU8" s="37">
        <v>5</v>
      </c>
      <c r="GV8" s="6"/>
      <c r="GW8" s="7"/>
      <c r="GZ8" s="34" t="s">
        <v>6</v>
      </c>
      <c r="HA8" s="37">
        <v>5</v>
      </c>
      <c r="HB8" s="15">
        <v>950</v>
      </c>
      <c r="HF8" s="34" t="s">
        <v>12</v>
      </c>
      <c r="HG8" s="37">
        <v>5</v>
      </c>
      <c r="HH8" s="15">
        <v>560</v>
      </c>
      <c r="HI8" s="10"/>
      <c r="HL8" s="34" t="s">
        <v>13</v>
      </c>
      <c r="HM8" s="37">
        <v>5</v>
      </c>
      <c r="HN8" s="15">
        <v>500</v>
      </c>
      <c r="HO8" s="12"/>
      <c r="HR8" s="34" t="s">
        <v>10</v>
      </c>
      <c r="HS8" s="37">
        <v>5</v>
      </c>
      <c r="HT8" s="15"/>
      <c r="HU8" s="12"/>
      <c r="HX8" s="34" t="s">
        <v>7</v>
      </c>
      <c r="HY8" s="37">
        <v>5</v>
      </c>
      <c r="HZ8" s="15"/>
      <c r="IJ8" s="34" t="s">
        <v>12</v>
      </c>
      <c r="IK8" s="37">
        <v>4</v>
      </c>
      <c r="IL8" s="6"/>
      <c r="IP8" s="34" t="s">
        <v>11</v>
      </c>
      <c r="IQ8" s="37">
        <v>4</v>
      </c>
      <c r="IR8" s="6"/>
      <c r="IV8" s="34" t="s">
        <v>6</v>
      </c>
      <c r="IW8" s="37">
        <v>4</v>
      </c>
      <c r="IX8" s="7">
        <v>3890</v>
      </c>
      <c r="JA8" s="37"/>
      <c r="JB8" s="34" t="s">
        <v>12</v>
      </c>
      <c r="JC8" s="37">
        <v>4</v>
      </c>
      <c r="JD8" s="7"/>
      <c r="JH8" s="34" t="s">
        <v>13</v>
      </c>
      <c r="JI8" s="37">
        <v>4</v>
      </c>
      <c r="JJ8" s="7"/>
      <c r="JN8" s="34" t="s">
        <v>10</v>
      </c>
      <c r="JO8" s="37">
        <v>4</v>
      </c>
      <c r="JP8" s="7">
        <v>300</v>
      </c>
      <c r="JT8" s="34" t="s">
        <v>7</v>
      </c>
      <c r="JU8" s="37">
        <v>4</v>
      </c>
      <c r="JV8" s="7"/>
      <c r="KA8" s="34" t="s">
        <v>10</v>
      </c>
      <c r="KB8" s="37">
        <v>4</v>
      </c>
      <c r="KC8" s="7"/>
      <c r="KH8" s="34" t="s">
        <v>11</v>
      </c>
      <c r="KI8" s="37">
        <v>4</v>
      </c>
      <c r="KJ8" s="7"/>
      <c r="KN8" s="34" t="s">
        <v>13</v>
      </c>
      <c r="KO8" s="37">
        <v>3</v>
      </c>
      <c r="KP8" s="7"/>
      <c r="KT8" s="34" t="s">
        <v>10</v>
      </c>
      <c r="KU8" s="37">
        <v>3</v>
      </c>
      <c r="KV8" s="7">
        <v>274.5</v>
      </c>
      <c r="KZ8" s="34" t="s">
        <v>7</v>
      </c>
      <c r="LA8" s="37">
        <v>3</v>
      </c>
      <c r="LB8" s="7">
        <v>970</v>
      </c>
      <c r="LF8" s="34" t="s">
        <v>8</v>
      </c>
      <c r="LG8" s="37">
        <v>3</v>
      </c>
      <c r="LH8" s="7">
        <v>1510</v>
      </c>
      <c r="LL8" s="34" t="s">
        <v>12</v>
      </c>
      <c r="LM8" s="37">
        <v>3</v>
      </c>
      <c r="LN8" s="7"/>
      <c r="LR8" s="34" t="s">
        <v>11</v>
      </c>
      <c r="LS8" s="37">
        <v>3</v>
      </c>
      <c r="LT8" s="7"/>
      <c r="LX8" s="36"/>
      <c r="LY8" s="34" t="s">
        <v>6</v>
      </c>
      <c r="LZ8" s="37">
        <v>2</v>
      </c>
      <c r="MA8" s="7"/>
      <c r="MF8" s="34" t="s">
        <v>7</v>
      </c>
      <c r="MG8" s="37">
        <v>2</v>
      </c>
      <c r="MH8" s="7"/>
      <c r="ML8" s="34" t="s">
        <v>13</v>
      </c>
      <c r="MM8" s="37">
        <v>2</v>
      </c>
      <c r="MN8" s="7">
        <v>825</v>
      </c>
      <c r="MR8" s="34" t="s">
        <v>10</v>
      </c>
      <c r="MS8" s="37">
        <v>2</v>
      </c>
      <c r="MT8" s="7"/>
      <c r="MX8" s="34" t="s">
        <v>7</v>
      </c>
      <c r="MY8" s="37">
        <v>2</v>
      </c>
      <c r="MZ8" s="7">
        <v>2696</v>
      </c>
      <c r="ND8" s="34" t="s">
        <v>8</v>
      </c>
      <c r="NE8" s="37">
        <v>2</v>
      </c>
      <c r="NF8" s="7">
        <v>844</v>
      </c>
      <c r="NJ8" s="34" t="s">
        <v>12</v>
      </c>
      <c r="NK8" s="37">
        <v>2</v>
      </c>
      <c r="NL8" s="7"/>
      <c r="NP8" s="34" t="s">
        <v>11</v>
      </c>
      <c r="NQ8" s="37">
        <v>2</v>
      </c>
      <c r="NR8" s="7"/>
      <c r="NV8" s="36"/>
      <c r="NW8" s="34" t="s">
        <v>6</v>
      </c>
      <c r="NX8" s="37">
        <v>1</v>
      </c>
      <c r="NY8" s="7"/>
      <c r="OD8" s="34" t="s">
        <v>7</v>
      </c>
      <c r="OE8" s="37">
        <v>1</v>
      </c>
      <c r="OF8" s="7"/>
      <c r="OJ8" s="34" t="s">
        <v>13</v>
      </c>
      <c r="OK8" s="37">
        <v>1</v>
      </c>
      <c r="OL8" s="7">
        <v>2452</v>
      </c>
      <c r="OP8" s="34" t="s">
        <v>10</v>
      </c>
      <c r="OQ8" s="37">
        <v>1</v>
      </c>
      <c r="OV8" s="34" t="s">
        <v>7</v>
      </c>
      <c r="OW8" s="37">
        <v>1</v>
      </c>
      <c r="PB8" s="34" t="s">
        <v>8</v>
      </c>
      <c r="PC8" s="37">
        <v>1</v>
      </c>
      <c r="PH8" s="34" t="s">
        <v>12</v>
      </c>
      <c r="PI8" s="37">
        <v>1</v>
      </c>
      <c r="PN8" s="34" t="s">
        <v>11</v>
      </c>
      <c r="PO8" s="37">
        <v>1</v>
      </c>
    </row>
    <row r="9" spans="1:434" x14ac:dyDescent="0.3">
      <c r="A9" s="34">
        <v>7</v>
      </c>
      <c r="C9" s="7"/>
      <c r="H9" s="34" t="s">
        <v>32</v>
      </c>
      <c r="J9" s="7"/>
      <c r="N9" s="34">
        <v>7</v>
      </c>
      <c r="P9" s="7"/>
      <c r="U9" s="34" t="s">
        <v>33</v>
      </c>
      <c r="W9" s="7">
        <v>240</v>
      </c>
      <c r="AB9" s="34" t="s">
        <v>34</v>
      </c>
      <c r="AD9" s="7">
        <v>210</v>
      </c>
      <c r="AI9" s="34" t="s">
        <v>35</v>
      </c>
      <c r="AK9" s="7"/>
      <c r="AO9" s="34" t="s">
        <v>34</v>
      </c>
      <c r="AQ9" s="7">
        <v>75</v>
      </c>
      <c r="AU9" s="34" t="s">
        <v>35</v>
      </c>
      <c r="AZ9" s="34" t="s">
        <v>8</v>
      </c>
      <c r="BA9" s="37">
        <v>7</v>
      </c>
      <c r="BB9" s="7">
        <v>1615</v>
      </c>
      <c r="BF9" s="34" t="s">
        <v>12</v>
      </c>
      <c r="BG9" s="37">
        <v>7</v>
      </c>
      <c r="BH9" s="7">
        <v>560</v>
      </c>
      <c r="BL9" s="34" t="s">
        <v>13</v>
      </c>
      <c r="BM9" s="37">
        <v>7</v>
      </c>
      <c r="BN9" s="7"/>
      <c r="BR9" s="34" t="s">
        <v>12</v>
      </c>
      <c r="BS9" s="37">
        <v>7</v>
      </c>
      <c r="BT9" s="1"/>
      <c r="BX9" s="34" t="s">
        <v>13</v>
      </c>
      <c r="BY9" s="37">
        <v>7</v>
      </c>
      <c r="BZ9" s="7"/>
      <c r="CD9" s="34" t="s">
        <v>6</v>
      </c>
      <c r="CE9" s="37">
        <v>7</v>
      </c>
      <c r="CF9" s="7">
        <v>2020</v>
      </c>
      <c r="CJ9" s="34" t="s">
        <v>7</v>
      </c>
      <c r="CK9" s="37">
        <v>7</v>
      </c>
      <c r="CL9" s="7">
        <v>134</v>
      </c>
      <c r="CM9" s="7"/>
      <c r="CN9" s="34" t="s">
        <v>8</v>
      </c>
      <c r="CO9" s="37">
        <v>7</v>
      </c>
      <c r="CP9" s="7">
        <v>315</v>
      </c>
      <c r="CT9" s="34" t="s">
        <v>10</v>
      </c>
      <c r="CU9" s="37">
        <v>7</v>
      </c>
      <c r="CV9" s="7"/>
      <c r="DA9" s="34" t="s">
        <v>11</v>
      </c>
      <c r="DB9" s="37">
        <v>7</v>
      </c>
      <c r="DC9" s="1"/>
      <c r="DG9" s="34" t="s">
        <v>6</v>
      </c>
      <c r="DH9" s="37">
        <v>7</v>
      </c>
      <c r="DI9" s="7">
        <v>670</v>
      </c>
      <c r="DL9" s="34" t="s">
        <v>12</v>
      </c>
      <c r="DM9" s="37">
        <v>7</v>
      </c>
      <c r="DN9" s="7">
        <v>820</v>
      </c>
      <c r="DR9" s="34" t="s">
        <v>13</v>
      </c>
      <c r="DS9" s="37">
        <v>7</v>
      </c>
      <c r="DT9" s="7">
        <v>1122</v>
      </c>
      <c r="DX9" s="34" t="s">
        <v>10</v>
      </c>
      <c r="DY9" s="37">
        <v>7</v>
      </c>
      <c r="DZ9" s="7">
        <v>100</v>
      </c>
      <c r="ED9" s="34" t="s">
        <v>7</v>
      </c>
      <c r="EE9" s="37">
        <v>7</v>
      </c>
      <c r="EF9" s="7"/>
      <c r="EK9" s="34" t="s">
        <v>6</v>
      </c>
      <c r="EL9" s="37">
        <v>7</v>
      </c>
      <c r="EM9" s="1"/>
      <c r="EQ9" s="34" t="s">
        <v>7</v>
      </c>
      <c r="ER9" s="37">
        <v>7</v>
      </c>
      <c r="ES9" s="7"/>
      <c r="EW9" s="34" t="s">
        <v>13</v>
      </c>
      <c r="EX9" s="37">
        <v>7</v>
      </c>
      <c r="EY9" s="7">
        <v>50</v>
      </c>
      <c r="FC9" s="34" t="s">
        <v>10</v>
      </c>
      <c r="FD9" s="37">
        <v>7</v>
      </c>
      <c r="FE9" s="7">
        <v>210</v>
      </c>
      <c r="FI9" s="34" t="s">
        <v>7</v>
      </c>
      <c r="FJ9" s="37">
        <v>7</v>
      </c>
      <c r="FK9" s="7">
        <v>80</v>
      </c>
      <c r="FL9" s="10">
        <v>820</v>
      </c>
      <c r="FO9" s="34" t="s">
        <v>8</v>
      </c>
      <c r="FP9" s="37">
        <v>7</v>
      </c>
      <c r="FQ9" s="7">
        <v>204</v>
      </c>
      <c r="FR9" s="12">
        <v>1122</v>
      </c>
      <c r="FU9" s="34" t="s">
        <v>12</v>
      </c>
      <c r="FV9" s="37">
        <v>7</v>
      </c>
      <c r="FW9" s="7">
        <v>370</v>
      </c>
      <c r="FX9" s="12">
        <v>100</v>
      </c>
      <c r="GA9" s="34" t="s">
        <v>11</v>
      </c>
      <c r="GB9" s="37">
        <v>7</v>
      </c>
      <c r="GC9" s="7"/>
      <c r="GH9" s="34" t="s">
        <v>6</v>
      </c>
      <c r="GI9" s="37">
        <v>6</v>
      </c>
      <c r="GJ9" s="13"/>
      <c r="GN9" s="34" t="s">
        <v>7</v>
      </c>
      <c r="GO9" s="37">
        <v>6</v>
      </c>
      <c r="GP9" s="15"/>
      <c r="GT9" s="34" t="s">
        <v>13</v>
      </c>
      <c r="GU9" s="37">
        <v>6</v>
      </c>
      <c r="GV9" s="6"/>
      <c r="GW9" s="7"/>
      <c r="GZ9" s="34" t="s">
        <v>10</v>
      </c>
      <c r="HA9" s="37">
        <v>6</v>
      </c>
      <c r="HB9" s="15">
        <v>1235</v>
      </c>
      <c r="HF9" s="34" t="s">
        <v>7</v>
      </c>
      <c r="HG9" s="37">
        <v>6</v>
      </c>
      <c r="HH9" s="15">
        <v>1490</v>
      </c>
      <c r="HI9" s="10"/>
      <c r="HL9" s="34" t="s">
        <v>8</v>
      </c>
      <c r="HM9" s="37">
        <v>6</v>
      </c>
      <c r="HN9" s="15">
        <v>1760</v>
      </c>
      <c r="HO9" s="12"/>
      <c r="HR9" s="34" t="s">
        <v>12</v>
      </c>
      <c r="HS9" s="37">
        <v>6</v>
      </c>
      <c r="HT9" s="15"/>
      <c r="HU9" s="12"/>
      <c r="HX9" s="34" t="s">
        <v>11</v>
      </c>
      <c r="HY9" s="37">
        <v>6</v>
      </c>
      <c r="HZ9" s="15"/>
      <c r="IJ9" s="34" t="s">
        <v>7</v>
      </c>
      <c r="IK9" s="37">
        <v>5</v>
      </c>
      <c r="IL9" s="6"/>
      <c r="IP9" s="34" t="s">
        <v>13</v>
      </c>
      <c r="IQ9" s="37">
        <v>5</v>
      </c>
      <c r="IR9" s="6"/>
      <c r="IV9" s="34" t="s">
        <v>10</v>
      </c>
      <c r="IW9" s="37">
        <v>5</v>
      </c>
      <c r="IX9" s="7">
        <v>34</v>
      </c>
      <c r="JA9" s="37"/>
      <c r="JB9" s="34" t="s">
        <v>7</v>
      </c>
      <c r="JC9" s="37">
        <v>5</v>
      </c>
      <c r="JD9" s="7">
        <v>987</v>
      </c>
      <c r="JH9" s="34" t="s">
        <v>8</v>
      </c>
      <c r="JI9" s="37">
        <v>5</v>
      </c>
      <c r="JJ9" s="7"/>
      <c r="JN9" s="34" t="s">
        <v>12</v>
      </c>
      <c r="JO9" s="37">
        <v>5</v>
      </c>
      <c r="JP9" s="7">
        <v>200</v>
      </c>
      <c r="JT9" s="34" t="s">
        <v>11</v>
      </c>
      <c r="JU9" s="37">
        <v>5</v>
      </c>
      <c r="JV9" s="7"/>
      <c r="KA9" s="34" t="s">
        <v>12</v>
      </c>
      <c r="KB9" s="37">
        <v>5</v>
      </c>
      <c r="KC9" s="7"/>
      <c r="KH9" s="34" t="s">
        <v>13</v>
      </c>
      <c r="KI9" s="37">
        <v>5</v>
      </c>
      <c r="KJ9" s="7"/>
      <c r="KN9" s="34" t="s">
        <v>8</v>
      </c>
      <c r="KO9" s="37">
        <v>4</v>
      </c>
      <c r="KP9" s="7"/>
      <c r="KT9" s="34" t="s">
        <v>12</v>
      </c>
      <c r="KU9" s="37">
        <v>4</v>
      </c>
      <c r="KV9" s="7">
        <v>352</v>
      </c>
      <c r="KZ9" s="34" t="s">
        <v>11</v>
      </c>
      <c r="LA9" s="37">
        <v>4</v>
      </c>
      <c r="LB9" s="7">
        <v>160</v>
      </c>
      <c r="LF9" s="34" t="s">
        <v>6</v>
      </c>
      <c r="LG9" s="37">
        <v>4</v>
      </c>
      <c r="LH9" s="7">
        <v>1977</v>
      </c>
      <c r="LL9" s="34" t="s">
        <v>7</v>
      </c>
      <c r="LM9" s="37">
        <v>4</v>
      </c>
      <c r="LN9" s="7">
        <v>625</v>
      </c>
      <c r="LR9" s="34" t="s">
        <v>13</v>
      </c>
      <c r="LS9" s="37">
        <v>4</v>
      </c>
      <c r="LT9" s="7"/>
      <c r="LX9" s="36"/>
      <c r="LY9" s="34" t="s">
        <v>10</v>
      </c>
      <c r="LZ9" s="37">
        <v>3</v>
      </c>
      <c r="MA9" s="7"/>
      <c r="MF9" s="34" t="s">
        <v>11</v>
      </c>
      <c r="MG9" s="37">
        <v>3</v>
      </c>
      <c r="MH9" s="7">
        <v>42</v>
      </c>
      <c r="ML9" s="34" t="s">
        <v>8</v>
      </c>
      <c r="MM9" s="37">
        <v>3</v>
      </c>
      <c r="MN9" s="7">
        <v>645</v>
      </c>
      <c r="MR9" s="34" t="s">
        <v>12</v>
      </c>
      <c r="MS9" s="37">
        <v>3</v>
      </c>
      <c r="MT9" s="7">
        <v>103</v>
      </c>
      <c r="MX9" s="34" t="s">
        <v>11</v>
      </c>
      <c r="MY9" s="37">
        <v>3</v>
      </c>
      <c r="MZ9" s="7">
        <v>1865</v>
      </c>
      <c r="ND9" s="34" t="s">
        <v>6</v>
      </c>
      <c r="NE9" s="37">
        <v>3</v>
      </c>
      <c r="NF9" s="7">
        <v>3017</v>
      </c>
      <c r="NJ9" s="34" t="s">
        <v>7</v>
      </c>
      <c r="NK9" s="37">
        <v>3</v>
      </c>
      <c r="NL9" s="7"/>
      <c r="NP9" s="34" t="s">
        <v>13</v>
      </c>
      <c r="NQ9" s="37">
        <v>3</v>
      </c>
      <c r="NR9" s="7"/>
      <c r="NV9" s="36"/>
      <c r="NW9" s="34" t="s">
        <v>10</v>
      </c>
      <c r="NX9" s="37">
        <v>2</v>
      </c>
      <c r="NY9" s="7"/>
      <c r="OD9" s="34" t="s">
        <v>11</v>
      </c>
      <c r="OE9" s="37">
        <v>2</v>
      </c>
      <c r="OF9" s="7"/>
      <c r="OJ9" s="34" t="s">
        <v>8</v>
      </c>
      <c r="OK9" s="37">
        <v>2</v>
      </c>
      <c r="OL9" s="7">
        <v>995</v>
      </c>
      <c r="OP9" s="34" t="s">
        <v>12</v>
      </c>
      <c r="OQ9" s="37">
        <v>2</v>
      </c>
      <c r="OV9" s="34" t="s">
        <v>11</v>
      </c>
      <c r="OW9" s="37">
        <v>2</v>
      </c>
      <c r="PB9" s="34" t="s">
        <v>6</v>
      </c>
      <c r="PC9" s="37">
        <v>2</v>
      </c>
      <c r="PH9" s="34" t="s">
        <v>7</v>
      </c>
      <c r="PI9" s="37">
        <v>2</v>
      </c>
      <c r="PN9" s="34" t="s">
        <v>13</v>
      </c>
      <c r="PO9" s="37">
        <v>2</v>
      </c>
    </row>
    <row r="10" spans="1:434" x14ac:dyDescent="0.3">
      <c r="A10" s="34">
        <v>8</v>
      </c>
      <c r="C10" s="7"/>
      <c r="H10" s="34">
        <v>8</v>
      </c>
      <c r="J10" s="7"/>
      <c r="N10" s="34">
        <v>8</v>
      </c>
      <c r="P10" s="7">
        <v>0</v>
      </c>
      <c r="U10" s="34" t="s">
        <v>36</v>
      </c>
      <c r="W10" s="7">
        <v>765</v>
      </c>
      <c r="AB10" s="38" t="s">
        <v>37</v>
      </c>
      <c r="AD10" s="7"/>
      <c r="AE10" s="28"/>
      <c r="AI10" s="34" t="s">
        <v>38</v>
      </c>
      <c r="AK10" s="7"/>
      <c r="AO10" s="38" t="s">
        <v>37</v>
      </c>
      <c r="AQ10" s="7">
        <v>1060</v>
      </c>
      <c r="AU10" s="34" t="s">
        <v>38</v>
      </c>
      <c r="AZ10" s="34" t="s">
        <v>6</v>
      </c>
      <c r="BA10" s="37">
        <v>8</v>
      </c>
      <c r="BB10" s="7">
        <v>1170</v>
      </c>
      <c r="BF10" s="34" t="s">
        <v>7</v>
      </c>
      <c r="BG10" s="37">
        <v>8</v>
      </c>
      <c r="BH10" s="7">
        <v>485</v>
      </c>
      <c r="BL10" s="34" t="s">
        <v>8</v>
      </c>
      <c r="BM10" s="37">
        <v>8</v>
      </c>
      <c r="BN10" s="7">
        <v>969</v>
      </c>
      <c r="BR10" s="34" t="s">
        <v>7</v>
      </c>
      <c r="BS10" s="37">
        <v>8</v>
      </c>
      <c r="BT10" s="1"/>
      <c r="BX10" s="34" t="s">
        <v>8</v>
      </c>
      <c r="BY10" s="37">
        <v>8</v>
      </c>
      <c r="BZ10" s="7">
        <v>60</v>
      </c>
      <c r="CD10" s="34" t="s">
        <v>10</v>
      </c>
      <c r="CE10" s="37">
        <v>8</v>
      </c>
      <c r="CF10" s="7">
        <v>290</v>
      </c>
      <c r="CH10" s="7"/>
      <c r="CJ10" s="34" t="s">
        <v>11</v>
      </c>
      <c r="CK10" s="37">
        <v>8</v>
      </c>
      <c r="CL10" s="7">
        <v>115</v>
      </c>
      <c r="CM10" s="7"/>
      <c r="CN10" s="34" t="s">
        <v>6</v>
      </c>
      <c r="CO10" s="37">
        <v>8</v>
      </c>
      <c r="CP10" s="7">
        <v>255</v>
      </c>
      <c r="CT10" s="34" t="s">
        <v>12</v>
      </c>
      <c r="CU10" s="37">
        <v>8</v>
      </c>
      <c r="CV10" s="7"/>
      <c r="DA10" s="34" t="s">
        <v>13</v>
      </c>
      <c r="DB10" s="37">
        <v>8</v>
      </c>
      <c r="DC10" s="1"/>
      <c r="DG10" s="34" t="s">
        <v>10</v>
      </c>
      <c r="DH10" s="37">
        <v>8</v>
      </c>
      <c r="DI10" s="7">
        <v>130</v>
      </c>
      <c r="DL10" s="34" t="s">
        <v>7</v>
      </c>
      <c r="DM10" s="37">
        <v>8</v>
      </c>
      <c r="DN10" s="7">
        <v>616</v>
      </c>
      <c r="DP10" s="7"/>
      <c r="DR10" s="34" t="s">
        <v>8</v>
      </c>
      <c r="DS10" s="37">
        <v>8</v>
      </c>
      <c r="DT10" s="7">
        <v>3367</v>
      </c>
      <c r="DX10" s="34" t="s">
        <v>12</v>
      </c>
      <c r="DY10" s="37">
        <v>8</v>
      </c>
      <c r="DZ10" s="7">
        <v>548</v>
      </c>
      <c r="ED10" s="34" t="s">
        <v>11</v>
      </c>
      <c r="EE10" s="37">
        <v>8</v>
      </c>
      <c r="EF10" s="7"/>
      <c r="EK10" s="34" t="s">
        <v>10</v>
      </c>
      <c r="EL10" s="37">
        <v>8</v>
      </c>
      <c r="EM10" s="1"/>
      <c r="EQ10" s="34" t="s">
        <v>11</v>
      </c>
      <c r="ER10" s="37">
        <v>8</v>
      </c>
      <c r="ES10" s="7"/>
      <c r="EW10" s="34" t="s">
        <v>8</v>
      </c>
      <c r="EX10" s="37">
        <v>8</v>
      </c>
      <c r="EY10" s="7">
        <v>530</v>
      </c>
      <c r="FA10" s="7"/>
      <c r="FC10" s="34" t="s">
        <v>12</v>
      </c>
      <c r="FD10" s="37">
        <v>8</v>
      </c>
      <c r="FE10" s="7">
        <v>240</v>
      </c>
      <c r="FI10" s="34" t="s">
        <v>11</v>
      </c>
      <c r="FJ10" s="37">
        <v>8</v>
      </c>
      <c r="FK10" s="7">
        <v>340</v>
      </c>
      <c r="FL10" s="10">
        <v>616</v>
      </c>
      <c r="FO10" s="34" t="s">
        <v>6</v>
      </c>
      <c r="FP10" s="37">
        <v>8</v>
      </c>
      <c r="FQ10" s="7">
        <v>400</v>
      </c>
      <c r="FR10" s="12">
        <v>3367</v>
      </c>
      <c r="FU10" s="34" t="s">
        <v>7</v>
      </c>
      <c r="FV10" s="37">
        <v>8</v>
      </c>
      <c r="FW10" s="7">
        <v>615</v>
      </c>
      <c r="FX10" s="12">
        <v>548</v>
      </c>
      <c r="GA10" s="34" t="s">
        <v>13</v>
      </c>
      <c r="GB10" s="37">
        <v>8</v>
      </c>
      <c r="GC10" s="7"/>
      <c r="GH10" s="34" t="s">
        <v>10</v>
      </c>
      <c r="GI10" s="37">
        <v>7</v>
      </c>
      <c r="GJ10" s="13"/>
      <c r="GN10" s="34" t="s">
        <v>11</v>
      </c>
      <c r="GO10" s="37">
        <v>7</v>
      </c>
      <c r="GP10" s="15"/>
      <c r="GT10" s="34" t="s">
        <v>8</v>
      </c>
      <c r="GU10" s="37">
        <v>7</v>
      </c>
      <c r="GV10" s="6">
        <v>740</v>
      </c>
      <c r="GW10" s="7"/>
      <c r="GZ10" s="34" t="s">
        <v>12</v>
      </c>
      <c r="HA10" s="37">
        <v>7</v>
      </c>
      <c r="HB10" s="15"/>
      <c r="HF10" s="34" t="s">
        <v>11</v>
      </c>
      <c r="HG10" s="37">
        <v>7</v>
      </c>
      <c r="HH10" s="15">
        <v>965</v>
      </c>
      <c r="HI10" s="10"/>
      <c r="HL10" s="34" t="s">
        <v>6</v>
      </c>
      <c r="HM10" s="37">
        <v>7</v>
      </c>
      <c r="HN10" s="15">
        <v>4160</v>
      </c>
      <c r="HO10" s="12"/>
      <c r="HR10" s="34" t="s">
        <v>7</v>
      </c>
      <c r="HS10" s="37">
        <v>7</v>
      </c>
      <c r="HT10" s="15"/>
      <c r="HU10" s="12"/>
      <c r="HX10" s="34" t="s">
        <v>13</v>
      </c>
      <c r="HY10" s="37">
        <v>7</v>
      </c>
      <c r="HZ10" s="15"/>
      <c r="IJ10" s="34" t="s">
        <v>11</v>
      </c>
      <c r="IK10" s="37">
        <v>6</v>
      </c>
      <c r="IL10" s="6"/>
      <c r="IP10" s="34" t="s">
        <v>8</v>
      </c>
      <c r="IQ10" s="37">
        <v>6</v>
      </c>
      <c r="IR10" s="6">
        <v>250</v>
      </c>
      <c r="IV10" s="34" t="s">
        <v>12</v>
      </c>
      <c r="IW10" s="37">
        <v>6</v>
      </c>
      <c r="IX10" s="7">
        <v>245</v>
      </c>
      <c r="JA10" s="37"/>
      <c r="JB10" s="34" t="s">
        <v>11</v>
      </c>
      <c r="JC10" s="37">
        <v>6</v>
      </c>
      <c r="JD10" s="7">
        <v>330</v>
      </c>
      <c r="JH10" s="34" t="s">
        <v>6</v>
      </c>
      <c r="JI10" s="37">
        <v>6</v>
      </c>
      <c r="JJ10" s="7">
        <v>515</v>
      </c>
      <c r="JN10" s="34" t="s">
        <v>7</v>
      </c>
      <c r="JO10" s="37">
        <v>6</v>
      </c>
      <c r="JP10" s="7">
        <v>860</v>
      </c>
      <c r="JT10" s="34" t="s">
        <v>13</v>
      </c>
      <c r="JU10" s="37">
        <v>6</v>
      </c>
      <c r="JV10" s="7"/>
      <c r="KA10" s="34" t="s">
        <v>7</v>
      </c>
      <c r="KB10" s="37">
        <v>6</v>
      </c>
      <c r="KC10" s="7"/>
      <c r="KH10" s="34" t="s">
        <v>8</v>
      </c>
      <c r="KI10" s="37">
        <v>6</v>
      </c>
      <c r="KJ10" s="7">
        <v>300</v>
      </c>
      <c r="KN10" s="34" t="s">
        <v>6</v>
      </c>
      <c r="KO10" s="37">
        <v>5</v>
      </c>
      <c r="KP10" s="7"/>
      <c r="KT10" s="34" t="s">
        <v>7</v>
      </c>
      <c r="KU10" s="37">
        <v>5</v>
      </c>
      <c r="KV10" s="7"/>
      <c r="KZ10" s="34" t="s">
        <v>13</v>
      </c>
      <c r="LA10" s="37">
        <v>5</v>
      </c>
      <c r="LB10" s="7">
        <v>140</v>
      </c>
      <c r="LF10" s="34" t="s">
        <v>10</v>
      </c>
      <c r="LG10" s="37">
        <v>5</v>
      </c>
      <c r="LH10" s="7">
        <v>1195</v>
      </c>
      <c r="LL10" s="34" t="s">
        <v>11</v>
      </c>
      <c r="LM10" s="37">
        <v>5</v>
      </c>
      <c r="LN10" s="7"/>
      <c r="LR10" s="34" t="s">
        <v>8</v>
      </c>
      <c r="LS10" s="37">
        <v>5</v>
      </c>
      <c r="LT10" s="7">
        <v>360</v>
      </c>
      <c r="LX10" s="36"/>
      <c r="LY10" s="34" t="s">
        <v>12</v>
      </c>
      <c r="LZ10" s="37">
        <v>4</v>
      </c>
      <c r="MA10" s="7"/>
      <c r="MF10" s="34" t="s">
        <v>13</v>
      </c>
      <c r="MG10" s="37">
        <v>4</v>
      </c>
      <c r="MH10" s="7"/>
      <c r="ML10" s="34" t="s">
        <v>6</v>
      </c>
      <c r="MM10" s="37">
        <v>4</v>
      </c>
      <c r="MN10" s="7">
        <v>565</v>
      </c>
      <c r="MR10" s="34" t="s">
        <v>7</v>
      </c>
      <c r="MS10" s="37">
        <v>4</v>
      </c>
      <c r="MT10" s="7"/>
      <c r="MX10" s="34" t="s">
        <v>13</v>
      </c>
      <c r="MY10" s="37">
        <v>4</v>
      </c>
      <c r="MZ10" s="7">
        <v>872</v>
      </c>
      <c r="ND10" s="34" t="s">
        <v>10</v>
      </c>
      <c r="NE10" s="37">
        <v>4</v>
      </c>
      <c r="NF10" s="7">
        <v>558</v>
      </c>
      <c r="NJ10" s="34" t="s">
        <v>11</v>
      </c>
      <c r="NK10" s="37">
        <v>4</v>
      </c>
      <c r="NL10" s="7">
        <v>331.5</v>
      </c>
      <c r="NP10" s="34" t="s">
        <v>8</v>
      </c>
      <c r="NQ10" s="37">
        <v>4</v>
      </c>
      <c r="NR10" s="7"/>
      <c r="NV10" s="36"/>
      <c r="NW10" s="34" t="s">
        <v>12</v>
      </c>
      <c r="NX10" s="37">
        <v>3</v>
      </c>
      <c r="NY10" s="7"/>
      <c r="OD10" s="34" t="s">
        <v>13</v>
      </c>
      <c r="OE10" s="37">
        <v>3</v>
      </c>
      <c r="OF10" s="7"/>
      <c r="OJ10" s="34" t="s">
        <v>6</v>
      </c>
      <c r="OK10" s="37">
        <v>3</v>
      </c>
      <c r="OL10" s="7"/>
      <c r="OP10" s="34" t="s">
        <v>7</v>
      </c>
      <c r="OQ10" s="37">
        <v>3</v>
      </c>
      <c r="OV10" s="34" t="s">
        <v>13</v>
      </c>
      <c r="OW10" s="37">
        <v>3</v>
      </c>
      <c r="PB10" s="34" t="s">
        <v>10</v>
      </c>
      <c r="PC10" s="37">
        <v>3</v>
      </c>
      <c r="PH10" s="34" t="s">
        <v>11</v>
      </c>
      <c r="PI10" s="37">
        <v>3</v>
      </c>
      <c r="PN10" s="34" t="s">
        <v>8</v>
      </c>
      <c r="PO10" s="37">
        <v>3</v>
      </c>
    </row>
    <row r="11" spans="1:434" x14ac:dyDescent="0.3">
      <c r="A11" s="34" t="s">
        <v>39</v>
      </c>
      <c r="C11" s="7"/>
      <c r="H11" s="34">
        <v>9</v>
      </c>
      <c r="J11" s="7"/>
      <c r="N11" s="34">
        <v>9</v>
      </c>
      <c r="P11" s="7">
        <v>70</v>
      </c>
      <c r="U11" s="34" t="s">
        <v>40</v>
      </c>
      <c r="W11" s="7">
        <v>600</v>
      </c>
      <c r="AB11" s="34" t="s">
        <v>41</v>
      </c>
      <c r="AD11" s="7"/>
      <c r="AE11" s="28"/>
      <c r="AI11" s="34" t="s">
        <v>42</v>
      </c>
      <c r="AK11" s="7">
        <v>300</v>
      </c>
      <c r="AL11" s="19" t="s">
        <v>43</v>
      </c>
      <c r="AO11" s="34" t="s">
        <v>41</v>
      </c>
      <c r="AQ11" s="7">
        <v>30</v>
      </c>
      <c r="AU11" s="34" t="s">
        <v>42</v>
      </c>
      <c r="AZ11" s="34" t="s">
        <v>10</v>
      </c>
      <c r="BA11" s="37">
        <v>9</v>
      </c>
      <c r="BB11" s="7">
        <v>155</v>
      </c>
      <c r="BF11" s="34" t="s">
        <v>11</v>
      </c>
      <c r="BG11" s="37">
        <v>9</v>
      </c>
      <c r="BH11" s="7"/>
      <c r="BL11" s="34" t="s">
        <v>6</v>
      </c>
      <c r="BM11" s="37">
        <v>9</v>
      </c>
      <c r="BN11" s="7">
        <v>1643</v>
      </c>
      <c r="BR11" s="34" t="s">
        <v>11</v>
      </c>
      <c r="BS11" s="37">
        <v>9</v>
      </c>
      <c r="BT11" s="1"/>
      <c r="BX11" s="34" t="s">
        <v>6</v>
      </c>
      <c r="BY11" s="37">
        <v>9</v>
      </c>
      <c r="BZ11" s="7">
        <v>45</v>
      </c>
      <c r="CD11" s="34" t="s">
        <v>12</v>
      </c>
      <c r="CE11" s="37">
        <v>9</v>
      </c>
      <c r="CF11" s="7">
        <v>280</v>
      </c>
      <c r="CH11" s="7"/>
      <c r="CJ11" s="34" t="s">
        <v>13</v>
      </c>
      <c r="CK11" s="37">
        <v>9</v>
      </c>
      <c r="CL11" s="7">
        <v>62</v>
      </c>
      <c r="CN11" s="34" t="s">
        <v>10</v>
      </c>
      <c r="CO11" s="37">
        <v>9</v>
      </c>
      <c r="CP11" s="7"/>
      <c r="CT11" s="34" t="s">
        <v>7</v>
      </c>
      <c r="CU11" s="37">
        <v>9</v>
      </c>
      <c r="CV11" s="7"/>
      <c r="DA11" s="34" t="s">
        <v>8</v>
      </c>
      <c r="DB11" s="37">
        <v>9</v>
      </c>
      <c r="DC11" s="1"/>
      <c r="DG11" s="34" t="s">
        <v>12</v>
      </c>
      <c r="DH11" s="37">
        <v>9</v>
      </c>
      <c r="DI11" s="7">
        <v>15</v>
      </c>
      <c r="DL11" s="34" t="s">
        <v>11</v>
      </c>
      <c r="DM11" s="37">
        <v>9</v>
      </c>
      <c r="DN11" s="7">
        <v>995</v>
      </c>
      <c r="DP11" s="7"/>
      <c r="DR11" s="34" t="s">
        <v>6</v>
      </c>
      <c r="DS11" s="37">
        <v>9</v>
      </c>
      <c r="DT11" s="7">
        <v>4113</v>
      </c>
      <c r="DX11" s="34" t="s">
        <v>7</v>
      </c>
      <c r="DY11" s="37">
        <v>9</v>
      </c>
      <c r="DZ11" s="7">
        <v>82</v>
      </c>
      <c r="ED11" s="34" t="s">
        <v>13</v>
      </c>
      <c r="EE11" s="37">
        <v>9</v>
      </c>
      <c r="EF11" s="7"/>
      <c r="EK11" s="34" t="s">
        <v>12</v>
      </c>
      <c r="EL11" s="37">
        <v>9</v>
      </c>
      <c r="EM11" s="1"/>
      <c r="EQ11" s="34" t="s">
        <v>13</v>
      </c>
      <c r="ER11" s="37">
        <v>9</v>
      </c>
      <c r="ES11" s="7"/>
      <c r="EW11" s="34" t="s">
        <v>6</v>
      </c>
      <c r="EX11" s="37">
        <v>9</v>
      </c>
      <c r="EY11" s="7">
        <v>1536</v>
      </c>
      <c r="FA11" s="7"/>
      <c r="FC11" s="34" t="s">
        <v>7</v>
      </c>
      <c r="FD11" s="37">
        <v>9</v>
      </c>
      <c r="FE11" s="7">
        <v>420</v>
      </c>
      <c r="FI11" s="34" t="s">
        <v>13</v>
      </c>
      <c r="FJ11" s="37">
        <v>9</v>
      </c>
      <c r="FK11" s="7">
        <v>310</v>
      </c>
      <c r="FL11" s="10">
        <v>995</v>
      </c>
      <c r="FO11" s="34" t="s">
        <v>10</v>
      </c>
      <c r="FP11" s="37">
        <v>9</v>
      </c>
      <c r="FQ11" s="7">
        <v>95</v>
      </c>
      <c r="FR11" s="12">
        <v>4113</v>
      </c>
      <c r="FU11" s="34" t="s">
        <v>11</v>
      </c>
      <c r="FV11" s="37">
        <v>9</v>
      </c>
      <c r="FW11" s="7"/>
      <c r="FX11" s="12">
        <v>82</v>
      </c>
      <c r="GA11" s="34" t="s">
        <v>8</v>
      </c>
      <c r="GB11" s="37">
        <v>9</v>
      </c>
      <c r="GC11" s="7">
        <v>353</v>
      </c>
      <c r="GH11" s="34" t="s">
        <v>12</v>
      </c>
      <c r="GI11" s="37">
        <v>8</v>
      </c>
      <c r="GJ11" s="13"/>
      <c r="GN11" s="34" t="s">
        <v>13</v>
      </c>
      <c r="GO11" s="37">
        <v>8</v>
      </c>
      <c r="GP11" s="15"/>
      <c r="GT11" s="34" t="s">
        <v>6</v>
      </c>
      <c r="GU11" s="37">
        <v>8</v>
      </c>
      <c r="GV11" s="6">
        <v>1221</v>
      </c>
      <c r="GW11" s="7"/>
      <c r="GX11" s="7"/>
      <c r="GZ11" s="34" t="s">
        <v>7</v>
      </c>
      <c r="HA11" s="37">
        <v>8</v>
      </c>
      <c r="HB11" s="15"/>
      <c r="HF11" s="34" t="s">
        <v>13</v>
      </c>
      <c r="HG11" s="37">
        <v>8</v>
      </c>
      <c r="HH11" s="15">
        <v>940</v>
      </c>
      <c r="HI11" s="10"/>
      <c r="HL11" s="34" t="s">
        <v>10</v>
      </c>
      <c r="HM11" s="37">
        <v>8</v>
      </c>
      <c r="HN11" s="15">
        <v>500</v>
      </c>
      <c r="HO11" s="12"/>
      <c r="HR11" s="34" t="s">
        <v>11</v>
      </c>
      <c r="HS11" s="37">
        <v>8</v>
      </c>
      <c r="HT11" s="15">
        <v>189</v>
      </c>
      <c r="HU11" s="12"/>
      <c r="HX11" s="34" t="s">
        <v>8</v>
      </c>
      <c r="HY11" s="37">
        <v>8</v>
      </c>
      <c r="HZ11" s="15">
        <v>200</v>
      </c>
      <c r="IJ11" s="34" t="s">
        <v>13</v>
      </c>
      <c r="IK11" s="37">
        <v>7</v>
      </c>
      <c r="IL11" s="6"/>
      <c r="IP11" s="34" t="s">
        <v>6</v>
      </c>
      <c r="IQ11" s="37">
        <v>7</v>
      </c>
      <c r="IR11" s="6"/>
      <c r="IV11" s="34" t="s">
        <v>7</v>
      </c>
      <c r="IW11" s="37">
        <v>7</v>
      </c>
      <c r="IX11" s="7">
        <v>590</v>
      </c>
      <c r="JA11" s="37"/>
      <c r="JB11" s="34" t="s">
        <v>13</v>
      </c>
      <c r="JC11" s="37">
        <v>7</v>
      </c>
      <c r="JD11" s="7">
        <v>470</v>
      </c>
      <c r="JH11" s="34" t="s">
        <v>10</v>
      </c>
      <c r="JI11" s="37">
        <v>7</v>
      </c>
      <c r="JJ11" s="7">
        <v>295</v>
      </c>
      <c r="JN11" s="34" t="s">
        <v>11</v>
      </c>
      <c r="JO11" s="37">
        <v>7</v>
      </c>
      <c r="JP11" s="7">
        <v>245</v>
      </c>
      <c r="JT11" s="34" t="s">
        <v>8</v>
      </c>
      <c r="JU11" s="37">
        <v>7</v>
      </c>
      <c r="JV11" s="7">
        <v>955</v>
      </c>
      <c r="KA11" s="34" t="s">
        <v>11</v>
      </c>
      <c r="KB11" s="37">
        <v>7</v>
      </c>
      <c r="KC11" s="7"/>
      <c r="KH11" s="34" t="s">
        <v>6</v>
      </c>
      <c r="KI11" s="37">
        <v>7</v>
      </c>
      <c r="KJ11" s="7"/>
      <c r="KN11" s="34" t="s">
        <v>10</v>
      </c>
      <c r="KO11" s="37">
        <v>6</v>
      </c>
      <c r="KP11" s="7"/>
      <c r="KT11" s="34" t="s">
        <v>11</v>
      </c>
      <c r="KU11" s="37">
        <v>6</v>
      </c>
      <c r="KV11" s="7"/>
      <c r="KZ11" s="34" t="s">
        <v>8</v>
      </c>
      <c r="LA11" s="37">
        <v>6</v>
      </c>
      <c r="LB11" s="7">
        <v>340</v>
      </c>
      <c r="LF11" s="34" t="s">
        <v>12</v>
      </c>
      <c r="LG11" s="37">
        <v>6</v>
      </c>
      <c r="LH11" s="7">
        <v>585</v>
      </c>
      <c r="LL11" s="34" t="s">
        <v>13</v>
      </c>
      <c r="LM11" s="37">
        <v>6</v>
      </c>
      <c r="LN11" s="7"/>
      <c r="LR11" s="34" t="s">
        <v>6</v>
      </c>
      <c r="LS11" s="37">
        <v>6</v>
      </c>
      <c r="LT11" s="7"/>
      <c r="LX11" s="36"/>
      <c r="LY11" s="34" t="s">
        <v>7</v>
      </c>
      <c r="LZ11" s="37">
        <v>5</v>
      </c>
      <c r="MA11" s="7"/>
      <c r="MF11" s="34" t="s">
        <v>8</v>
      </c>
      <c r="MG11" s="37">
        <v>5</v>
      </c>
      <c r="MH11" s="7">
        <v>1630</v>
      </c>
      <c r="ML11" s="34" t="s">
        <v>10</v>
      </c>
      <c r="MM11" s="37">
        <v>5</v>
      </c>
      <c r="MN11" s="7"/>
      <c r="MR11" s="34" t="s">
        <v>11</v>
      </c>
      <c r="MS11" s="37">
        <v>5</v>
      </c>
      <c r="MT11" s="7"/>
      <c r="MX11" s="34" t="s">
        <v>8</v>
      </c>
      <c r="MY11" s="37">
        <v>5</v>
      </c>
      <c r="MZ11" s="7">
        <v>4714</v>
      </c>
      <c r="ND11" s="34" t="s">
        <v>12</v>
      </c>
      <c r="NE11" s="37">
        <v>5</v>
      </c>
      <c r="NF11" s="7">
        <v>535</v>
      </c>
      <c r="NJ11" s="34" t="s">
        <v>13</v>
      </c>
      <c r="NK11" s="37">
        <v>5</v>
      </c>
      <c r="NL11" s="7">
        <v>572</v>
      </c>
      <c r="NP11" s="34" t="s">
        <v>6</v>
      </c>
      <c r="NQ11" s="37">
        <v>5</v>
      </c>
      <c r="NR11" s="7">
        <v>430</v>
      </c>
      <c r="NV11" s="36"/>
      <c r="NW11" s="34" t="s">
        <v>7</v>
      </c>
      <c r="NX11" s="37">
        <v>4</v>
      </c>
      <c r="NY11" s="7"/>
      <c r="OD11" s="34" t="s">
        <v>8</v>
      </c>
      <c r="OE11" s="37">
        <v>4</v>
      </c>
      <c r="OF11" s="7">
        <v>162</v>
      </c>
      <c r="OJ11" s="34" t="s">
        <v>10</v>
      </c>
      <c r="OK11" s="37">
        <v>4</v>
      </c>
      <c r="OL11" s="7"/>
      <c r="OP11" s="34" t="s">
        <v>11</v>
      </c>
      <c r="OQ11" s="37">
        <v>4</v>
      </c>
      <c r="OV11" s="34" t="s">
        <v>8</v>
      </c>
      <c r="OW11" s="37">
        <v>4</v>
      </c>
      <c r="PB11" s="34" t="s">
        <v>12</v>
      </c>
      <c r="PC11" s="37">
        <v>4</v>
      </c>
      <c r="PH11" s="34" t="s">
        <v>13</v>
      </c>
      <c r="PI11" s="37">
        <v>4</v>
      </c>
      <c r="PN11" s="34" t="s">
        <v>6</v>
      </c>
      <c r="PO11" s="37">
        <v>4</v>
      </c>
    </row>
    <row r="12" spans="1:434" x14ac:dyDescent="0.3">
      <c r="A12" s="34" t="s">
        <v>44</v>
      </c>
      <c r="C12" s="7">
        <v>120</v>
      </c>
      <c r="H12" s="34">
        <v>10</v>
      </c>
      <c r="J12" s="7"/>
      <c r="N12" s="34" t="s">
        <v>45</v>
      </c>
      <c r="P12" s="7">
        <v>170</v>
      </c>
      <c r="U12" s="34" t="s">
        <v>46</v>
      </c>
      <c r="W12" s="7"/>
      <c r="AB12" s="34" t="s">
        <v>47</v>
      </c>
      <c r="AD12" s="7"/>
      <c r="AE12" s="28"/>
      <c r="AI12" s="34" t="s">
        <v>40</v>
      </c>
      <c r="AK12" s="7">
        <v>530</v>
      </c>
      <c r="AL12" s="19" t="s">
        <v>48</v>
      </c>
      <c r="AO12" s="34" t="s">
        <v>47</v>
      </c>
      <c r="AQ12" s="7">
        <v>180</v>
      </c>
      <c r="AU12" s="34" t="s">
        <v>44</v>
      </c>
      <c r="AZ12" s="34" t="s">
        <v>12</v>
      </c>
      <c r="BA12" s="37">
        <v>10</v>
      </c>
      <c r="BB12" s="7">
        <v>135</v>
      </c>
      <c r="BF12" s="34" t="s">
        <v>13</v>
      </c>
      <c r="BG12" s="37">
        <v>10</v>
      </c>
      <c r="BH12" s="7">
        <v>85</v>
      </c>
      <c r="BL12" s="34" t="s">
        <v>10</v>
      </c>
      <c r="BM12" s="37">
        <v>10</v>
      </c>
      <c r="BN12" s="7"/>
      <c r="BR12" s="34" t="s">
        <v>13</v>
      </c>
      <c r="BS12" s="37">
        <v>10</v>
      </c>
      <c r="BT12" s="1"/>
      <c r="BX12" s="34" t="s">
        <v>10</v>
      </c>
      <c r="BY12" s="37">
        <v>10</v>
      </c>
      <c r="BZ12" s="7">
        <v>125</v>
      </c>
      <c r="CD12" s="34" t="s">
        <v>7</v>
      </c>
      <c r="CE12" s="37">
        <v>10</v>
      </c>
      <c r="CF12" s="7">
        <v>235</v>
      </c>
      <c r="CH12" s="7"/>
      <c r="CJ12" s="34" t="s">
        <v>8</v>
      </c>
      <c r="CK12" s="37">
        <v>10</v>
      </c>
      <c r="CL12" s="7">
        <v>681</v>
      </c>
      <c r="CM12" s="7"/>
      <c r="CN12" s="34" t="s">
        <v>12</v>
      </c>
      <c r="CO12" s="37">
        <v>10</v>
      </c>
      <c r="CP12" s="7"/>
      <c r="CT12" s="34" t="s">
        <v>11</v>
      </c>
      <c r="CU12" s="37">
        <v>10</v>
      </c>
      <c r="CV12" s="7"/>
      <c r="DA12" s="34" t="s">
        <v>6</v>
      </c>
      <c r="DB12" s="37">
        <v>10</v>
      </c>
      <c r="DC12" s="1"/>
      <c r="DG12" s="34" t="s">
        <v>7</v>
      </c>
      <c r="DH12" s="37">
        <v>10</v>
      </c>
      <c r="DI12" s="7">
        <v>190</v>
      </c>
      <c r="DL12" s="34" t="s">
        <v>13</v>
      </c>
      <c r="DM12" s="37">
        <v>10</v>
      </c>
      <c r="DN12" s="7">
        <v>514</v>
      </c>
      <c r="DP12" s="7"/>
      <c r="DR12" s="34" t="s">
        <v>10</v>
      </c>
      <c r="DS12" s="37">
        <v>10</v>
      </c>
      <c r="DT12" s="7">
        <v>1423</v>
      </c>
      <c r="DX12" s="34" t="s">
        <v>11</v>
      </c>
      <c r="DY12" s="37">
        <v>10</v>
      </c>
      <c r="DZ12" s="7">
        <v>80</v>
      </c>
      <c r="ED12" s="34" t="s">
        <v>8</v>
      </c>
      <c r="EE12" s="37">
        <v>10</v>
      </c>
      <c r="EF12" s="7"/>
      <c r="EK12" s="34" t="s">
        <v>7</v>
      </c>
      <c r="EL12" s="37">
        <v>10</v>
      </c>
      <c r="EM12" s="1"/>
      <c r="EQ12" s="34" t="s">
        <v>8</v>
      </c>
      <c r="ER12" s="37">
        <v>10</v>
      </c>
      <c r="ES12" s="7"/>
      <c r="EW12" s="34" t="s">
        <v>10</v>
      </c>
      <c r="EX12" s="37">
        <v>10</v>
      </c>
      <c r="EY12" s="7"/>
      <c r="FA12" s="7"/>
      <c r="FC12" s="34" t="s">
        <v>11</v>
      </c>
      <c r="FD12" s="37">
        <v>10</v>
      </c>
      <c r="FE12" s="7">
        <v>190</v>
      </c>
      <c r="FI12" s="34" t="s">
        <v>8</v>
      </c>
      <c r="FJ12" s="37">
        <v>10</v>
      </c>
      <c r="FK12" s="7">
        <v>0</v>
      </c>
      <c r="FL12" s="10">
        <v>514</v>
      </c>
      <c r="FO12" s="34" t="s">
        <v>12</v>
      </c>
      <c r="FP12" s="37">
        <v>10</v>
      </c>
      <c r="FQ12" s="7">
        <v>130</v>
      </c>
      <c r="FR12" s="12">
        <v>1423</v>
      </c>
      <c r="FU12" s="34" t="s">
        <v>13</v>
      </c>
      <c r="FV12" s="37">
        <v>10</v>
      </c>
      <c r="FW12" s="7"/>
      <c r="FX12" s="12">
        <v>80</v>
      </c>
      <c r="GA12" s="34" t="s">
        <v>6</v>
      </c>
      <c r="GB12" s="37">
        <v>10</v>
      </c>
      <c r="GC12" s="7">
        <v>912</v>
      </c>
      <c r="GH12" s="34" t="s">
        <v>7</v>
      </c>
      <c r="GI12" s="37">
        <v>9</v>
      </c>
      <c r="GJ12" s="13"/>
      <c r="GN12" s="34" t="s">
        <v>8</v>
      </c>
      <c r="GO12" s="37">
        <v>9</v>
      </c>
      <c r="GP12" s="15"/>
      <c r="GT12" s="34" t="s">
        <v>10</v>
      </c>
      <c r="GU12" s="37">
        <v>9</v>
      </c>
      <c r="GV12" s="6">
        <v>325</v>
      </c>
      <c r="GW12" s="7"/>
      <c r="GX12" s="7"/>
      <c r="GZ12" s="34" t="s">
        <v>11</v>
      </c>
      <c r="HA12" s="37">
        <v>9</v>
      </c>
      <c r="HB12" s="15"/>
      <c r="HF12" s="34" t="s">
        <v>8</v>
      </c>
      <c r="HG12" s="37">
        <v>9</v>
      </c>
      <c r="HH12" s="15">
        <v>3520</v>
      </c>
      <c r="HI12" s="10"/>
      <c r="HL12" s="34" t="s">
        <v>12</v>
      </c>
      <c r="HM12" s="37">
        <v>9</v>
      </c>
      <c r="HN12" s="15">
        <v>910</v>
      </c>
      <c r="HO12" s="12"/>
      <c r="HR12" s="34" t="s">
        <v>13</v>
      </c>
      <c r="HS12" s="37">
        <v>9</v>
      </c>
      <c r="HT12" s="15"/>
      <c r="HU12" s="12"/>
      <c r="HX12" s="34" t="s">
        <v>6</v>
      </c>
      <c r="HY12" s="37">
        <v>9</v>
      </c>
      <c r="HZ12" s="15">
        <v>570</v>
      </c>
      <c r="IJ12" s="34" t="s">
        <v>8</v>
      </c>
      <c r="IK12" s="37">
        <v>8</v>
      </c>
      <c r="IL12" s="6">
        <v>310</v>
      </c>
      <c r="IP12" s="34" t="s">
        <v>10</v>
      </c>
      <c r="IQ12" s="37">
        <v>8</v>
      </c>
      <c r="IR12" s="6">
        <v>560</v>
      </c>
      <c r="IV12" s="34" t="s">
        <v>11</v>
      </c>
      <c r="IW12" s="37">
        <v>8</v>
      </c>
      <c r="IX12" s="7">
        <v>100</v>
      </c>
      <c r="JA12" s="37"/>
      <c r="JB12" s="34" t="s">
        <v>8</v>
      </c>
      <c r="JC12" s="37">
        <v>8</v>
      </c>
      <c r="JD12" s="7">
        <v>3340</v>
      </c>
      <c r="JH12" s="34" t="s">
        <v>12</v>
      </c>
      <c r="JI12" s="37">
        <v>8</v>
      </c>
      <c r="JJ12" s="7">
        <v>230</v>
      </c>
      <c r="JN12" s="34" t="s">
        <v>13</v>
      </c>
      <c r="JO12" s="37">
        <v>8</v>
      </c>
      <c r="JP12" s="7">
        <v>550</v>
      </c>
      <c r="JT12" s="34" t="s">
        <v>6</v>
      </c>
      <c r="JU12" s="37">
        <v>8</v>
      </c>
      <c r="JV12" s="7"/>
      <c r="KA12" s="34" t="s">
        <v>13</v>
      </c>
      <c r="KB12" s="37">
        <v>8</v>
      </c>
      <c r="KC12" s="7"/>
      <c r="KH12" s="34" t="s">
        <v>10</v>
      </c>
      <c r="KI12" s="37">
        <v>8</v>
      </c>
      <c r="KJ12" s="7"/>
      <c r="KN12" s="34" t="s">
        <v>12</v>
      </c>
      <c r="KO12" s="37">
        <v>7</v>
      </c>
      <c r="KP12" s="7"/>
      <c r="KT12" s="34" t="s">
        <v>13</v>
      </c>
      <c r="KU12" s="37">
        <v>7</v>
      </c>
      <c r="KV12" s="7"/>
      <c r="KZ12" s="34" t="s">
        <v>6</v>
      </c>
      <c r="LA12" s="37">
        <v>7</v>
      </c>
      <c r="LB12" s="7">
        <v>850</v>
      </c>
      <c r="LF12" s="34" t="s">
        <v>7</v>
      </c>
      <c r="LG12" s="37">
        <v>7</v>
      </c>
      <c r="LH12" s="7">
        <v>840</v>
      </c>
      <c r="LL12" s="34" t="s">
        <v>8</v>
      </c>
      <c r="LM12" s="37">
        <v>7</v>
      </c>
      <c r="LN12" s="7">
        <v>190</v>
      </c>
      <c r="LR12" s="34" t="s">
        <v>10</v>
      </c>
      <c r="LS12" s="37">
        <v>7</v>
      </c>
      <c r="LT12" s="7"/>
      <c r="LX12" s="36"/>
      <c r="LY12" s="34" t="s">
        <v>11</v>
      </c>
      <c r="LZ12" s="37">
        <v>6</v>
      </c>
      <c r="MA12" s="7"/>
      <c r="MF12" s="34" t="s">
        <v>6</v>
      </c>
      <c r="MG12" s="37">
        <v>6</v>
      </c>
      <c r="MH12" s="7">
        <v>1320</v>
      </c>
      <c r="ML12" s="34" t="s">
        <v>12</v>
      </c>
      <c r="MM12" s="37">
        <v>6</v>
      </c>
      <c r="MN12" s="7"/>
      <c r="MR12" s="34" t="s">
        <v>13</v>
      </c>
      <c r="MS12" s="37">
        <v>6</v>
      </c>
      <c r="MT12" s="7"/>
      <c r="MX12" s="34" t="s">
        <v>6</v>
      </c>
      <c r="MY12" s="37">
        <v>6</v>
      </c>
      <c r="MZ12" s="7"/>
      <c r="ND12" s="34" t="s">
        <v>7</v>
      </c>
      <c r="NE12" s="37">
        <v>6</v>
      </c>
      <c r="NF12" s="7">
        <v>529</v>
      </c>
      <c r="NJ12" s="34" t="s">
        <v>8</v>
      </c>
      <c r="NK12" s="37">
        <v>6</v>
      </c>
      <c r="NL12" s="7">
        <v>2160</v>
      </c>
      <c r="NP12" s="34" t="s">
        <v>10</v>
      </c>
      <c r="NQ12" s="37">
        <v>6</v>
      </c>
      <c r="NR12" s="7"/>
      <c r="NV12" s="36"/>
      <c r="NW12" s="34" t="s">
        <v>11</v>
      </c>
      <c r="NX12" s="37">
        <v>5</v>
      </c>
      <c r="NY12" s="7"/>
      <c r="OD12" s="34" t="s">
        <v>6</v>
      </c>
      <c r="OE12" s="37">
        <v>5</v>
      </c>
      <c r="OF12" s="7">
        <v>230</v>
      </c>
      <c r="OJ12" s="34" t="s">
        <v>12</v>
      </c>
      <c r="OK12" s="37">
        <v>5</v>
      </c>
      <c r="OL12" s="7"/>
      <c r="OP12" s="34" t="s">
        <v>13</v>
      </c>
      <c r="OQ12" s="37">
        <v>5</v>
      </c>
      <c r="OV12" s="34" t="s">
        <v>6</v>
      </c>
      <c r="OW12" s="37">
        <v>5</v>
      </c>
      <c r="PB12" s="34" t="s">
        <v>7</v>
      </c>
      <c r="PC12" s="37">
        <v>5</v>
      </c>
      <c r="PH12" s="34" t="s">
        <v>8</v>
      </c>
      <c r="PI12" s="37">
        <v>5</v>
      </c>
      <c r="PN12" s="34" t="s">
        <v>10</v>
      </c>
      <c r="PO12" s="37">
        <v>5</v>
      </c>
    </row>
    <row r="13" spans="1:434" x14ac:dyDescent="0.3">
      <c r="A13" s="34">
        <v>11</v>
      </c>
      <c r="C13" s="7"/>
      <c r="H13" s="34">
        <v>11</v>
      </c>
      <c r="J13" s="7"/>
      <c r="N13" s="34" t="s">
        <v>49</v>
      </c>
      <c r="P13" s="7">
        <v>400</v>
      </c>
      <c r="U13" s="38" t="s">
        <v>50</v>
      </c>
      <c r="W13" s="7">
        <v>75</v>
      </c>
      <c r="AB13" s="34" t="s">
        <v>51</v>
      </c>
      <c r="AD13" s="7">
        <v>25</v>
      </c>
      <c r="AI13" s="34" t="s">
        <v>46</v>
      </c>
      <c r="AK13" s="7">
        <v>800</v>
      </c>
      <c r="AL13" s="19" t="s">
        <v>48</v>
      </c>
      <c r="AO13" s="34" t="s">
        <v>51</v>
      </c>
      <c r="AQ13" s="7">
        <v>300</v>
      </c>
      <c r="AU13" s="34" t="s">
        <v>52</v>
      </c>
      <c r="AZ13" s="34" t="s">
        <v>7</v>
      </c>
      <c r="BA13" s="37">
        <v>11</v>
      </c>
      <c r="BB13" s="7">
        <v>155</v>
      </c>
      <c r="BF13" s="34" t="s">
        <v>8</v>
      </c>
      <c r="BG13" s="37">
        <v>11</v>
      </c>
      <c r="BH13" s="7">
        <v>600</v>
      </c>
      <c r="BL13" s="34" t="s">
        <v>12</v>
      </c>
      <c r="BM13" s="37">
        <v>11</v>
      </c>
      <c r="BN13" s="7"/>
      <c r="BR13" s="34" t="s">
        <v>8</v>
      </c>
      <c r="BS13" s="37">
        <v>11</v>
      </c>
      <c r="BT13" s="1"/>
      <c r="BX13" s="34" t="s">
        <v>12</v>
      </c>
      <c r="BY13" s="37">
        <v>11</v>
      </c>
      <c r="BZ13" s="7"/>
      <c r="CD13" s="34" t="s">
        <v>11</v>
      </c>
      <c r="CE13" s="37">
        <v>11</v>
      </c>
      <c r="CF13" s="7">
        <v>195</v>
      </c>
      <c r="CH13" s="7"/>
      <c r="CJ13" s="34" t="s">
        <v>6</v>
      </c>
      <c r="CK13" s="37">
        <v>11</v>
      </c>
      <c r="CL13" s="7">
        <v>277</v>
      </c>
      <c r="CN13" s="34" t="s">
        <v>7</v>
      </c>
      <c r="CO13" s="37">
        <v>11</v>
      </c>
      <c r="CP13" s="7">
        <v>54</v>
      </c>
      <c r="CT13" s="34" t="s">
        <v>13</v>
      </c>
      <c r="CU13" s="37">
        <v>11</v>
      </c>
      <c r="CV13" s="7"/>
      <c r="DA13" s="34" t="s">
        <v>10</v>
      </c>
      <c r="DB13" s="37">
        <v>11</v>
      </c>
      <c r="DC13" s="1"/>
      <c r="DG13" s="34" t="s">
        <v>11</v>
      </c>
      <c r="DH13" s="37">
        <v>11</v>
      </c>
      <c r="DI13" s="7">
        <v>72</v>
      </c>
      <c r="DL13" s="34" t="s">
        <v>8</v>
      </c>
      <c r="DM13" s="37">
        <v>11</v>
      </c>
      <c r="DN13" s="7">
        <v>1390</v>
      </c>
      <c r="DP13" s="7"/>
      <c r="DR13" s="34" t="s">
        <v>12</v>
      </c>
      <c r="DS13" s="37">
        <v>11</v>
      </c>
      <c r="DT13" s="7">
        <v>1420</v>
      </c>
      <c r="DX13" s="34" t="s">
        <v>13</v>
      </c>
      <c r="DY13" s="37">
        <v>11</v>
      </c>
      <c r="DZ13" s="7">
        <v>180</v>
      </c>
      <c r="ED13" s="34" t="s">
        <v>6</v>
      </c>
      <c r="EE13" s="37">
        <v>11</v>
      </c>
      <c r="EF13" s="7"/>
      <c r="EK13" s="34" t="s">
        <v>11</v>
      </c>
      <c r="EL13" s="37">
        <v>11</v>
      </c>
      <c r="EM13" s="1"/>
      <c r="EQ13" s="34" t="s">
        <v>6</v>
      </c>
      <c r="ER13" s="37">
        <v>11</v>
      </c>
      <c r="ES13" s="7"/>
      <c r="EW13" s="34" t="s">
        <v>12</v>
      </c>
      <c r="EX13" s="37">
        <v>11</v>
      </c>
      <c r="EY13" s="7"/>
      <c r="FA13" s="7"/>
      <c r="FC13" s="34" t="s">
        <v>13</v>
      </c>
      <c r="FD13" s="37">
        <v>11</v>
      </c>
      <c r="FE13" s="7">
        <v>270</v>
      </c>
      <c r="FI13" s="34" t="s">
        <v>6</v>
      </c>
      <c r="FJ13" s="37">
        <v>11</v>
      </c>
      <c r="FK13" s="7">
        <v>900</v>
      </c>
      <c r="FL13" s="10">
        <v>1390</v>
      </c>
      <c r="FO13" s="34" t="s">
        <v>7</v>
      </c>
      <c r="FP13" s="37">
        <v>11</v>
      </c>
      <c r="FQ13" s="7">
        <v>520</v>
      </c>
      <c r="FR13" s="12">
        <v>1420</v>
      </c>
      <c r="FU13" s="34" t="s">
        <v>8</v>
      </c>
      <c r="FV13" s="37">
        <v>11</v>
      </c>
      <c r="FW13" s="7">
        <v>970</v>
      </c>
      <c r="FX13" s="12">
        <v>180</v>
      </c>
      <c r="GA13" s="34" t="s">
        <v>10</v>
      </c>
      <c r="GB13" s="37">
        <v>11</v>
      </c>
      <c r="GC13" s="7"/>
      <c r="GH13" s="34" t="s">
        <v>11</v>
      </c>
      <c r="GI13" s="37">
        <v>10</v>
      </c>
      <c r="GJ13" s="13"/>
      <c r="GN13" s="34" t="s">
        <v>6</v>
      </c>
      <c r="GO13" s="37">
        <v>10</v>
      </c>
      <c r="GP13" s="15">
        <v>275</v>
      </c>
      <c r="GT13" s="34" t="s">
        <v>12</v>
      </c>
      <c r="GU13" s="37">
        <v>10</v>
      </c>
      <c r="GV13" s="6">
        <v>130</v>
      </c>
      <c r="GW13" s="7"/>
      <c r="GX13" s="7"/>
      <c r="GZ13" s="34" t="s">
        <v>13</v>
      </c>
      <c r="HA13" s="37">
        <v>10</v>
      </c>
      <c r="HB13" s="15"/>
      <c r="HF13" s="34" t="s">
        <v>6</v>
      </c>
      <c r="HG13" s="37">
        <v>10</v>
      </c>
      <c r="HH13" s="15">
        <v>5450</v>
      </c>
      <c r="HI13" s="10"/>
      <c r="HL13" s="34" t="s">
        <v>7</v>
      </c>
      <c r="HM13" s="37">
        <v>10</v>
      </c>
      <c r="HN13" s="15">
        <v>1160</v>
      </c>
      <c r="HO13" s="12"/>
      <c r="HR13" s="34" t="s">
        <v>8</v>
      </c>
      <c r="HS13" s="37">
        <v>10</v>
      </c>
      <c r="HT13" s="15">
        <v>380</v>
      </c>
      <c r="HU13" s="12"/>
      <c r="HX13" s="34" t="s">
        <v>10</v>
      </c>
      <c r="HY13" s="37">
        <v>10</v>
      </c>
      <c r="HZ13" s="15"/>
      <c r="IJ13" s="34" t="s">
        <v>6</v>
      </c>
      <c r="IK13" s="37">
        <v>9</v>
      </c>
      <c r="IL13" s="6">
        <v>580</v>
      </c>
      <c r="IP13" s="34" t="s">
        <v>12</v>
      </c>
      <c r="IQ13" s="37">
        <v>9</v>
      </c>
      <c r="IR13" s="6"/>
      <c r="IV13" s="34" t="s">
        <v>13</v>
      </c>
      <c r="IW13" s="37">
        <v>9</v>
      </c>
      <c r="IX13" s="7"/>
      <c r="JA13" s="37"/>
      <c r="JB13" s="34" t="s">
        <v>6</v>
      </c>
      <c r="JC13" s="37">
        <v>9</v>
      </c>
      <c r="JD13" s="7">
        <v>2130</v>
      </c>
      <c r="JH13" s="34" t="s">
        <v>7</v>
      </c>
      <c r="JI13" s="37">
        <v>9</v>
      </c>
      <c r="JJ13" s="7">
        <v>120</v>
      </c>
      <c r="JN13" s="34" t="s">
        <v>8</v>
      </c>
      <c r="JO13" s="37">
        <v>9</v>
      </c>
      <c r="JP13" s="7">
        <v>5470</v>
      </c>
      <c r="JT13" s="34" t="s">
        <v>10</v>
      </c>
      <c r="JU13" s="37">
        <v>9</v>
      </c>
      <c r="JV13" s="7"/>
      <c r="KA13" s="34" t="s">
        <v>8</v>
      </c>
      <c r="KB13" s="37">
        <v>9</v>
      </c>
      <c r="KC13" s="7"/>
      <c r="KH13" s="34" t="s">
        <v>12</v>
      </c>
      <c r="KI13" s="37">
        <v>9</v>
      </c>
      <c r="KJ13" s="7"/>
      <c r="KN13" s="34" t="s">
        <v>7</v>
      </c>
      <c r="KO13" s="37">
        <v>8</v>
      </c>
      <c r="KP13" s="7"/>
      <c r="KT13" s="34" t="s">
        <v>8</v>
      </c>
      <c r="KU13" s="37">
        <v>8</v>
      </c>
      <c r="KV13" s="7">
        <v>1066</v>
      </c>
      <c r="KZ13" s="34" t="s">
        <v>10</v>
      </c>
      <c r="LA13" s="37">
        <v>8</v>
      </c>
      <c r="LB13" s="7">
        <v>130</v>
      </c>
      <c r="LF13" s="34" t="s">
        <v>11</v>
      </c>
      <c r="LG13" s="37">
        <v>8</v>
      </c>
      <c r="LH13" s="7">
        <v>790</v>
      </c>
      <c r="LL13" s="34" t="s">
        <v>6</v>
      </c>
      <c r="LM13" s="37">
        <v>8</v>
      </c>
      <c r="LN13" s="7">
        <v>620</v>
      </c>
      <c r="LR13" s="34" t="s">
        <v>12</v>
      </c>
      <c r="LS13" s="37">
        <v>8</v>
      </c>
      <c r="LT13" s="7"/>
      <c r="LX13" s="36"/>
      <c r="LY13" s="34" t="s">
        <v>13</v>
      </c>
      <c r="LZ13" s="37">
        <v>7</v>
      </c>
      <c r="MA13" s="7"/>
      <c r="MF13" s="34" t="s">
        <v>10</v>
      </c>
      <c r="MG13" s="37">
        <v>7</v>
      </c>
      <c r="MH13" s="7"/>
      <c r="ML13" s="34" t="s">
        <v>7</v>
      </c>
      <c r="MM13" s="37">
        <v>7</v>
      </c>
      <c r="MN13" s="7"/>
      <c r="MR13" s="34" t="s">
        <v>8</v>
      </c>
      <c r="MS13" s="37">
        <v>7</v>
      </c>
      <c r="MT13" s="7"/>
      <c r="MX13" s="34" t="s">
        <v>10</v>
      </c>
      <c r="MY13" s="37">
        <v>7</v>
      </c>
      <c r="MZ13" s="7"/>
      <c r="ND13" s="34" t="s">
        <v>11</v>
      </c>
      <c r="NE13" s="37">
        <v>7</v>
      </c>
      <c r="NF13" s="7">
        <v>1283</v>
      </c>
      <c r="NJ13" s="34" t="s">
        <v>6</v>
      </c>
      <c r="NK13" s="37">
        <v>7</v>
      </c>
      <c r="NL13" s="7">
        <v>5376</v>
      </c>
      <c r="NP13" s="34" t="s">
        <v>12</v>
      </c>
      <c r="NQ13" s="37">
        <v>7</v>
      </c>
      <c r="NR13" s="7"/>
      <c r="NV13" s="36"/>
      <c r="NW13" s="34" t="s">
        <v>13</v>
      </c>
      <c r="NX13" s="37">
        <v>6</v>
      </c>
      <c r="NY13" s="7"/>
      <c r="OD13" s="34" t="s">
        <v>10</v>
      </c>
      <c r="OE13" s="37">
        <v>6</v>
      </c>
      <c r="OF13" s="7">
        <v>1156</v>
      </c>
      <c r="OJ13" s="34" t="s">
        <v>7</v>
      </c>
      <c r="OK13" s="37">
        <v>6</v>
      </c>
      <c r="OL13" s="7"/>
      <c r="OP13" s="34" t="s">
        <v>8</v>
      </c>
      <c r="OQ13" s="37">
        <v>6</v>
      </c>
      <c r="OV13" s="34" t="s">
        <v>10</v>
      </c>
      <c r="OW13" s="37">
        <v>6</v>
      </c>
      <c r="PB13" s="34" t="s">
        <v>11</v>
      </c>
      <c r="PC13" s="37">
        <v>6</v>
      </c>
      <c r="PH13" s="34" t="s">
        <v>6</v>
      </c>
      <c r="PI13" s="37">
        <v>6</v>
      </c>
      <c r="PN13" s="34" t="s">
        <v>12</v>
      </c>
      <c r="PO13" s="37">
        <v>6</v>
      </c>
    </row>
    <row r="14" spans="1:434" x14ac:dyDescent="0.3">
      <c r="A14" s="34">
        <v>12</v>
      </c>
      <c r="C14" s="7"/>
      <c r="H14" s="34">
        <v>12</v>
      </c>
      <c r="J14" s="7"/>
      <c r="N14" s="34">
        <v>12</v>
      </c>
      <c r="P14" s="7">
        <v>0</v>
      </c>
      <c r="U14" s="34" t="s">
        <v>53</v>
      </c>
      <c r="W14" s="7">
        <v>20</v>
      </c>
      <c r="AB14" s="34" t="s">
        <v>54</v>
      </c>
      <c r="AD14" s="7">
        <v>0</v>
      </c>
      <c r="AI14" s="38" t="s">
        <v>50</v>
      </c>
      <c r="AK14" s="7"/>
      <c r="AO14" s="34" t="s">
        <v>54</v>
      </c>
      <c r="AQ14" s="7">
        <v>90</v>
      </c>
      <c r="AU14" s="38" t="s">
        <v>55</v>
      </c>
      <c r="AZ14" s="34" t="s">
        <v>11</v>
      </c>
      <c r="BA14" s="37">
        <v>12</v>
      </c>
      <c r="BB14" s="7">
        <v>115</v>
      </c>
      <c r="BF14" s="34" t="s">
        <v>6</v>
      </c>
      <c r="BG14" s="37">
        <v>12</v>
      </c>
      <c r="BH14" s="7">
        <v>1383</v>
      </c>
      <c r="BL14" s="34" t="s">
        <v>7</v>
      </c>
      <c r="BM14" s="37">
        <v>12</v>
      </c>
      <c r="BN14" s="7">
        <v>185</v>
      </c>
      <c r="BR14" s="34" t="s">
        <v>6</v>
      </c>
      <c r="BS14" s="37">
        <v>12</v>
      </c>
      <c r="BT14" s="1"/>
      <c r="BX14" s="34" t="s">
        <v>7</v>
      </c>
      <c r="BY14" s="37">
        <v>12</v>
      </c>
      <c r="BZ14" s="7"/>
      <c r="CD14" s="34" t="s">
        <v>13</v>
      </c>
      <c r="CE14" s="37">
        <v>12</v>
      </c>
      <c r="CF14" s="7">
        <v>480</v>
      </c>
      <c r="CH14" s="7"/>
      <c r="CJ14" s="34" t="s">
        <v>10</v>
      </c>
      <c r="CK14" s="37">
        <v>12</v>
      </c>
      <c r="CL14" s="7">
        <v>106</v>
      </c>
      <c r="CN14" s="34" t="s">
        <v>11</v>
      </c>
      <c r="CO14" s="37">
        <v>12</v>
      </c>
      <c r="CP14" s="7"/>
      <c r="CT14" s="34" t="s">
        <v>8</v>
      </c>
      <c r="CU14" s="37">
        <v>12</v>
      </c>
      <c r="CV14" s="7"/>
      <c r="DA14" s="34" t="s">
        <v>12</v>
      </c>
      <c r="DB14" s="37">
        <v>12</v>
      </c>
      <c r="DC14" s="1"/>
      <c r="DG14" s="34" t="s">
        <v>13</v>
      </c>
      <c r="DH14" s="37">
        <v>12</v>
      </c>
      <c r="DI14" s="7"/>
      <c r="DK14" s="39"/>
      <c r="DL14" s="34" t="s">
        <v>6</v>
      </c>
      <c r="DM14" s="37">
        <v>12</v>
      </c>
      <c r="DN14" s="7">
        <v>3683</v>
      </c>
      <c r="DP14" s="7"/>
      <c r="DR14" s="34" t="s">
        <v>7</v>
      </c>
      <c r="DS14" s="37">
        <v>12</v>
      </c>
      <c r="DT14" s="7">
        <v>1408</v>
      </c>
      <c r="DX14" s="34" t="s">
        <v>8</v>
      </c>
      <c r="DY14" s="37">
        <v>12</v>
      </c>
      <c r="DZ14" s="7">
        <v>2800</v>
      </c>
      <c r="ED14" s="34" t="s">
        <v>10</v>
      </c>
      <c r="EE14" s="37">
        <v>12</v>
      </c>
      <c r="EF14" s="7"/>
      <c r="EK14" s="34" t="s">
        <v>13</v>
      </c>
      <c r="EL14" s="37">
        <v>12</v>
      </c>
      <c r="EM14" s="1"/>
      <c r="EQ14" s="34" t="s">
        <v>10</v>
      </c>
      <c r="ER14" s="37">
        <v>12</v>
      </c>
      <c r="ES14" s="7"/>
      <c r="EV14" s="39"/>
      <c r="EW14" s="34" t="s">
        <v>7</v>
      </c>
      <c r="EX14" s="37">
        <v>12</v>
      </c>
      <c r="EY14" s="7"/>
      <c r="FA14" s="7"/>
      <c r="FC14" s="34" t="s">
        <v>8</v>
      </c>
      <c r="FD14" s="37">
        <v>12</v>
      </c>
      <c r="FE14" s="7">
        <v>2604</v>
      </c>
      <c r="FI14" s="34" t="s">
        <v>10</v>
      </c>
      <c r="FJ14" s="37">
        <v>12</v>
      </c>
      <c r="FK14" s="7"/>
      <c r="FL14" s="10">
        <v>3683</v>
      </c>
      <c r="FO14" s="34" t="s">
        <v>11</v>
      </c>
      <c r="FP14" s="37">
        <v>12</v>
      </c>
      <c r="FQ14" s="7">
        <v>615</v>
      </c>
      <c r="FR14" s="12">
        <v>1408</v>
      </c>
      <c r="FU14" s="34" t="s">
        <v>6</v>
      </c>
      <c r="FV14" s="37">
        <v>12</v>
      </c>
      <c r="FW14" s="7">
        <v>2435</v>
      </c>
      <c r="FX14" s="12">
        <v>2800</v>
      </c>
      <c r="GA14" s="34" t="s">
        <v>12</v>
      </c>
      <c r="GB14" s="37">
        <v>12</v>
      </c>
      <c r="GC14" s="7"/>
      <c r="GH14" s="34" t="s">
        <v>13</v>
      </c>
      <c r="GI14" s="37">
        <v>11</v>
      </c>
      <c r="GJ14" s="13"/>
      <c r="GN14" s="34" t="s">
        <v>10</v>
      </c>
      <c r="GO14" s="37">
        <v>11</v>
      </c>
      <c r="GP14" s="15"/>
      <c r="GT14" s="34" t="s">
        <v>7</v>
      </c>
      <c r="GU14" s="37">
        <v>11</v>
      </c>
      <c r="GV14" s="6">
        <v>320</v>
      </c>
      <c r="GW14" s="7"/>
      <c r="GX14" s="7"/>
      <c r="GZ14" s="34" t="s">
        <v>8</v>
      </c>
      <c r="HA14" s="37">
        <v>11</v>
      </c>
      <c r="HB14" s="15">
        <v>1850</v>
      </c>
      <c r="HF14" s="34" t="s">
        <v>10</v>
      </c>
      <c r="HG14" s="37">
        <v>11</v>
      </c>
      <c r="HH14" s="15">
        <v>580</v>
      </c>
      <c r="HI14" s="10"/>
      <c r="HL14" s="34" t="s">
        <v>11</v>
      </c>
      <c r="HM14" s="37">
        <v>11</v>
      </c>
      <c r="HN14" s="15">
        <v>877</v>
      </c>
      <c r="HO14" s="12"/>
      <c r="HR14" s="34" t="s">
        <v>6</v>
      </c>
      <c r="HS14" s="37">
        <v>11</v>
      </c>
      <c r="HT14" s="15">
        <v>2880</v>
      </c>
      <c r="HU14" s="12"/>
      <c r="HX14" s="34" t="s">
        <v>12</v>
      </c>
      <c r="HY14" s="37">
        <v>11</v>
      </c>
      <c r="HZ14" s="15"/>
      <c r="IJ14" s="34" t="s">
        <v>10</v>
      </c>
      <c r="IK14" s="37">
        <v>10</v>
      </c>
      <c r="IL14" s="6">
        <v>75</v>
      </c>
      <c r="IP14" s="34" t="s">
        <v>7</v>
      </c>
      <c r="IQ14" s="37">
        <v>10</v>
      </c>
      <c r="IR14" s="6">
        <v>675</v>
      </c>
      <c r="IV14" s="34" t="s">
        <v>8</v>
      </c>
      <c r="IW14" s="37">
        <v>10</v>
      </c>
      <c r="IX14" s="7">
        <v>2225</v>
      </c>
      <c r="JA14" s="37"/>
      <c r="JB14" s="34" t="s">
        <v>10</v>
      </c>
      <c r="JC14" s="37">
        <v>10</v>
      </c>
      <c r="JD14" s="7">
        <v>760</v>
      </c>
      <c r="JH14" s="34" t="s">
        <v>11</v>
      </c>
      <c r="JI14" s="37">
        <v>10</v>
      </c>
      <c r="JJ14" s="7">
        <v>1000</v>
      </c>
      <c r="JN14" s="34" t="s">
        <v>6</v>
      </c>
      <c r="JO14" s="37">
        <v>10</v>
      </c>
      <c r="JP14" s="7">
        <v>9160</v>
      </c>
      <c r="JT14" s="34" t="s">
        <v>12</v>
      </c>
      <c r="JU14" s="37">
        <v>10</v>
      </c>
      <c r="JV14" s="7"/>
      <c r="KA14" s="34" t="s">
        <v>6</v>
      </c>
      <c r="KB14" s="37">
        <v>10</v>
      </c>
      <c r="KC14" s="7"/>
      <c r="KH14" s="34" t="s">
        <v>7</v>
      </c>
      <c r="KI14" s="37">
        <v>10</v>
      </c>
      <c r="KJ14" s="7"/>
      <c r="KN14" s="34" t="s">
        <v>11</v>
      </c>
      <c r="KO14" s="37">
        <v>9</v>
      </c>
      <c r="KP14" s="7">
        <v>920</v>
      </c>
      <c r="KT14" s="34" t="s">
        <v>6</v>
      </c>
      <c r="KU14" s="37">
        <v>9</v>
      </c>
      <c r="KV14" s="7">
        <v>1540</v>
      </c>
      <c r="KZ14" s="34" t="s">
        <v>12</v>
      </c>
      <c r="LA14" s="37">
        <v>9</v>
      </c>
      <c r="LB14" s="7">
        <v>130</v>
      </c>
      <c r="LF14" s="34" t="s">
        <v>13</v>
      </c>
      <c r="LG14" s="37">
        <v>9</v>
      </c>
      <c r="LH14" s="7">
        <v>460</v>
      </c>
      <c r="LL14" s="34" t="s">
        <v>10</v>
      </c>
      <c r="LM14" s="37">
        <v>9</v>
      </c>
      <c r="LN14" s="7"/>
      <c r="LR14" s="34" t="s">
        <v>7</v>
      </c>
      <c r="LS14" s="37">
        <v>9</v>
      </c>
      <c r="LT14" s="7"/>
      <c r="LX14" s="36"/>
      <c r="LY14" s="34" t="s">
        <v>8</v>
      </c>
      <c r="LZ14" s="37">
        <v>8</v>
      </c>
      <c r="MA14" s="7"/>
      <c r="MF14" s="34" t="s">
        <v>12</v>
      </c>
      <c r="MG14" s="37">
        <v>8</v>
      </c>
      <c r="MH14" s="7"/>
      <c r="ML14" s="34" t="s">
        <v>11</v>
      </c>
      <c r="MM14" s="37">
        <v>8</v>
      </c>
      <c r="MN14" s="7">
        <v>695</v>
      </c>
      <c r="MR14" s="34" t="s">
        <v>6</v>
      </c>
      <c r="MS14" s="37">
        <v>8</v>
      </c>
      <c r="MT14" s="7">
        <v>820</v>
      </c>
      <c r="MX14" s="34" t="s">
        <v>12</v>
      </c>
      <c r="MY14" s="37">
        <v>8</v>
      </c>
      <c r="MZ14" s="7">
        <v>301</v>
      </c>
      <c r="ND14" s="34" t="s">
        <v>13</v>
      </c>
      <c r="NE14" s="37">
        <v>8</v>
      </c>
      <c r="NF14" s="7">
        <v>901</v>
      </c>
      <c r="NJ14" s="34" t="s">
        <v>10</v>
      </c>
      <c r="NK14" s="37">
        <v>8</v>
      </c>
      <c r="NL14" s="7"/>
      <c r="NP14" s="34" t="s">
        <v>7</v>
      </c>
      <c r="NQ14" s="37">
        <v>8</v>
      </c>
      <c r="NR14" s="7"/>
      <c r="NV14" s="36"/>
      <c r="NW14" s="34" t="s">
        <v>8</v>
      </c>
      <c r="NX14" s="37">
        <v>7</v>
      </c>
      <c r="NY14" s="7"/>
      <c r="OD14" s="34" t="s">
        <v>12</v>
      </c>
      <c r="OE14" s="37">
        <v>7</v>
      </c>
      <c r="OF14" s="7"/>
      <c r="OJ14" s="34" t="s">
        <v>11</v>
      </c>
      <c r="OK14" s="37">
        <v>7</v>
      </c>
      <c r="OL14" s="7"/>
      <c r="OP14" s="34" t="s">
        <v>6</v>
      </c>
      <c r="OQ14" s="37">
        <v>7</v>
      </c>
      <c r="OV14" s="34" t="s">
        <v>12</v>
      </c>
      <c r="OW14" s="37">
        <v>7</v>
      </c>
      <c r="PB14" s="34" t="s">
        <v>13</v>
      </c>
      <c r="PC14" s="37">
        <v>7</v>
      </c>
      <c r="PH14" s="34" t="s">
        <v>10</v>
      </c>
      <c r="PI14" s="37">
        <v>7</v>
      </c>
      <c r="PN14" s="34" t="s">
        <v>7</v>
      </c>
      <c r="PO14" s="37">
        <v>7</v>
      </c>
    </row>
    <row r="15" spans="1:434" x14ac:dyDescent="0.3">
      <c r="A15" s="34">
        <v>13</v>
      </c>
      <c r="C15" s="7"/>
      <c r="H15" s="34" t="s">
        <v>56</v>
      </c>
      <c r="J15" s="7"/>
      <c r="N15" s="34">
        <v>13</v>
      </c>
      <c r="P15" s="7">
        <v>40</v>
      </c>
      <c r="U15" s="34" t="s">
        <v>57</v>
      </c>
      <c r="W15" s="7">
        <v>185</v>
      </c>
      <c r="AB15" s="34" t="s">
        <v>58</v>
      </c>
      <c r="AD15" s="7">
        <v>505</v>
      </c>
      <c r="AI15" s="34" t="s">
        <v>53</v>
      </c>
      <c r="AK15" s="7"/>
      <c r="AO15" s="34" t="s">
        <v>58</v>
      </c>
      <c r="AQ15" s="7"/>
      <c r="AU15" s="34" t="s">
        <v>59</v>
      </c>
      <c r="AV15" s="7">
        <v>0</v>
      </c>
      <c r="AZ15" s="34" t="s">
        <v>13</v>
      </c>
      <c r="BA15" s="37">
        <v>13</v>
      </c>
      <c r="BB15" s="7">
        <v>20</v>
      </c>
      <c r="BF15" s="34" t="s">
        <v>10</v>
      </c>
      <c r="BG15" s="37">
        <v>13</v>
      </c>
      <c r="BH15" s="7">
        <v>95</v>
      </c>
      <c r="BL15" s="34" t="s">
        <v>11</v>
      </c>
      <c r="BM15" s="37">
        <v>13</v>
      </c>
      <c r="BN15" s="7"/>
      <c r="BR15" s="34" t="s">
        <v>10</v>
      </c>
      <c r="BS15" s="37">
        <v>13</v>
      </c>
      <c r="BT15" s="1"/>
      <c r="BX15" s="34" t="s">
        <v>11</v>
      </c>
      <c r="BY15" s="37">
        <v>13</v>
      </c>
      <c r="BZ15" s="7">
        <v>15</v>
      </c>
      <c r="CD15" s="34" t="s">
        <v>8</v>
      </c>
      <c r="CE15" s="37">
        <v>13</v>
      </c>
      <c r="CF15" s="7">
        <v>1300</v>
      </c>
      <c r="CG15" s="7"/>
      <c r="CH15" s="7"/>
      <c r="CJ15" s="34" t="s">
        <v>12</v>
      </c>
      <c r="CK15" s="37">
        <v>13</v>
      </c>
      <c r="CL15" s="7">
        <v>0</v>
      </c>
      <c r="CM15" s="7"/>
      <c r="CN15" s="34" t="s">
        <v>13</v>
      </c>
      <c r="CO15" s="37">
        <v>13</v>
      </c>
      <c r="CP15" s="7"/>
      <c r="CT15" s="34" t="s">
        <v>6</v>
      </c>
      <c r="CU15" s="37">
        <v>13</v>
      </c>
      <c r="CV15" s="7"/>
      <c r="DA15" s="34" t="s">
        <v>7</v>
      </c>
      <c r="DB15" s="37">
        <v>13</v>
      </c>
      <c r="DC15" s="1"/>
      <c r="DG15" s="34" t="s">
        <v>8</v>
      </c>
      <c r="DH15" s="37">
        <v>13</v>
      </c>
      <c r="DI15" s="7">
        <v>1140</v>
      </c>
      <c r="DL15" s="34" t="s">
        <v>10</v>
      </c>
      <c r="DM15" s="37">
        <v>13</v>
      </c>
      <c r="DN15" s="7">
        <v>2017</v>
      </c>
      <c r="DP15" s="7"/>
      <c r="DR15" s="34" t="s">
        <v>11</v>
      </c>
      <c r="DS15" s="37">
        <v>13</v>
      </c>
      <c r="DT15" s="7">
        <v>310</v>
      </c>
      <c r="DX15" s="34" t="s">
        <v>6</v>
      </c>
      <c r="DY15" s="37">
        <v>13</v>
      </c>
      <c r="DZ15" s="7">
        <v>4735</v>
      </c>
      <c r="ED15" s="34" t="s">
        <v>12</v>
      </c>
      <c r="EE15" s="37">
        <v>13</v>
      </c>
      <c r="EF15" s="7"/>
      <c r="EK15" s="34" t="s">
        <v>8</v>
      </c>
      <c r="EL15" s="37">
        <v>13</v>
      </c>
      <c r="EM15" s="1"/>
      <c r="EQ15" s="34" t="s">
        <v>12</v>
      </c>
      <c r="ER15" s="37">
        <v>13</v>
      </c>
      <c r="ES15" s="7">
        <v>220</v>
      </c>
      <c r="EW15" s="34" t="s">
        <v>11</v>
      </c>
      <c r="EX15" s="37">
        <v>13</v>
      </c>
      <c r="EY15" s="7">
        <v>710</v>
      </c>
      <c r="FA15" s="7"/>
      <c r="FC15" s="34" t="s">
        <v>6</v>
      </c>
      <c r="FD15" s="37">
        <v>13</v>
      </c>
      <c r="FE15" s="7">
        <v>5221</v>
      </c>
      <c r="FI15" s="34" t="s">
        <v>12</v>
      </c>
      <c r="FJ15" s="37">
        <v>13</v>
      </c>
      <c r="FK15" s="7"/>
      <c r="FL15" s="10">
        <v>2017</v>
      </c>
      <c r="FO15" s="34" t="s">
        <v>13</v>
      </c>
      <c r="FP15" s="37">
        <v>13</v>
      </c>
      <c r="FQ15" s="7">
        <v>954</v>
      </c>
      <c r="FR15" s="12">
        <v>310</v>
      </c>
      <c r="FU15" s="34" t="s">
        <v>10</v>
      </c>
      <c r="FV15" s="37">
        <v>13</v>
      </c>
      <c r="FW15" s="7"/>
      <c r="FX15" s="12">
        <v>4735</v>
      </c>
      <c r="GA15" s="34" t="s">
        <v>7</v>
      </c>
      <c r="GB15" s="37">
        <v>13</v>
      </c>
      <c r="GC15" s="7"/>
      <c r="GH15" s="34" t="s">
        <v>8</v>
      </c>
      <c r="GI15" s="37">
        <v>12</v>
      </c>
      <c r="GJ15" s="13"/>
      <c r="GN15" s="34" t="s">
        <v>12</v>
      </c>
      <c r="GO15" s="37">
        <v>12</v>
      </c>
      <c r="GP15" s="15"/>
      <c r="GS15" s="39"/>
      <c r="GT15" s="34" t="s">
        <v>11</v>
      </c>
      <c r="GU15" s="37">
        <v>12</v>
      </c>
      <c r="GV15" s="6">
        <v>1800</v>
      </c>
      <c r="GW15" s="7"/>
      <c r="GX15" s="7"/>
      <c r="GZ15" s="34" t="s">
        <v>6</v>
      </c>
      <c r="HA15" s="37">
        <v>12</v>
      </c>
      <c r="HB15" s="15">
        <v>3207</v>
      </c>
      <c r="HF15" s="34" t="s">
        <v>12</v>
      </c>
      <c r="HG15" s="37">
        <v>12</v>
      </c>
      <c r="HH15" s="15">
        <v>977</v>
      </c>
      <c r="HI15" s="10"/>
      <c r="HL15" s="34" t="s">
        <v>13</v>
      </c>
      <c r="HM15" s="37">
        <v>12</v>
      </c>
      <c r="HN15" s="15">
        <v>750</v>
      </c>
      <c r="HO15" s="12"/>
      <c r="HR15" s="34" t="s">
        <v>10</v>
      </c>
      <c r="HS15" s="37">
        <v>12</v>
      </c>
      <c r="HT15" s="15"/>
      <c r="HU15" s="12"/>
      <c r="HX15" s="34" t="s">
        <v>7</v>
      </c>
      <c r="HY15" s="37">
        <v>12</v>
      </c>
      <c r="HZ15" s="15"/>
      <c r="IJ15" s="34" t="s">
        <v>12</v>
      </c>
      <c r="IK15" s="37">
        <v>11</v>
      </c>
      <c r="IL15" s="6"/>
      <c r="IP15" s="34" t="s">
        <v>11</v>
      </c>
      <c r="IQ15" s="37">
        <v>11</v>
      </c>
      <c r="IR15" s="6"/>
      <c r="IV15" s="34" t="s">
        <v>6</v>
      </c>
      <c r="IW15" s="37">
        <v>11</v>
      </c>
      <c r="IX15" s="7">
        <v>2395</v>
      </c>
      <c r="JA15" s="37"/>
      <c r="JB15" s="34" t="s">
        <v>12</v>
      </c>
      <c r="JC15" s="37">
        <v>11</v>
      </c>
      <c r="JD15" s="7">
        <v>800</v>
      </c>
      <c r="JH15" s="34" t="s">
        <v>13</v>
      </c>
      <c r="JI15" s="37">
        <v>11</v>
      </c>
      <c r="JJ15" s="7">
        <v>390</v>
      </c>
      <c r="JN15" s="34" t="s">
        <v>10</v>
      </c>
      <c r="JO15" s="37">
        <v>11</v>
      </c>
      <c r="JP15" s="7">
        <v>80</v>
      </c>
      <c r="JT15" s="34" t="s">
        <v>7</v>
      </c>
      <c r="JU15" s="37">
        <v>11</v>
      </c>
      <c r="JV15" s="7"/>
      <c r="KA15" s="34" t="s">
        <v>10</v>
      </c>
      <c r="KB15" s="37">
        <v>11</v>
      </c>
      <c r="KC15" s="7"/>
      <c r="KH15" s="34" t="s">
        <v>11</v>
      </c>
      <c r="KI15" s="37">
        <v>11</v>
      </c>
      <c r="KJ15" s="7"/>
      <c r="KN15" s="34" t="s">
        <v>13</v>
      </c>
      <c r="KO15" s="37">
        <v>10</v>
      </c>
      <c r="KP15" s="7">
        <v>450</v>
      </c>
      <c r="KT15" s="34" t="s">
        <v>10</v>
      </c>
      <c r="KU15" s="37">
        <v>10</v>
      </c>
      <c r="KV15" s="7"/>
      <c r="KZ15" s="34" t="s">
        <v>7</v>
      </c>
      <c r="LA15" s="37">
        <v>10</v>
      </c>
      <c r="LB15" s="7">
        <v>188</v>
      </c>
      <c r="LF15" s="34" t="s">
        <v>8</v>
      </c>
      <c r="LG15" s="37">
        <v>10</v>
      </c>
      <c r="LH15" s="7">
        <v>2355</v>
      </c>
      <c r="LL15" s="34" t="s">
        <v>12</v>
      </c>
      <c r="LM15" s="37">
        <v>10</v>
      </c>
      <c r="LN15" s="7"/>
      <c r="LR15" s="34" t="s">
        <v>11</v>
      </c>
      <c r="LS15" s="37">
        <v>10</v>
      </c>
      <c r="LT15" s="7">
        <v>1800</v>
      </c>
      <c r="LX15" s="36"/>
      <c r="LY15" s="34" t="s">
        <v>6</v>
      </c>
      <c r="LZ15" s="37">
        <v>9</v>
      </c>
      <c r="MA15" s="7"/>
      <c r="MF15" s="34" t="s">
        <v>7</v>
      </c>
      <c r="MG15" s="37">
        <v>9</v>
      </c>
      <c r="MH15" s="7"/>
      <c r="ML15" s="34" t="s">
        <v>13</v>
      </c>
      <c r="MM15" s="37">
        <v>9</v>
      </c>
      <c r="MN15" s="7">
        <v>104</v>
      </c>
      <c r="MR15" s="34" t="s">
        <v>10</v>
      </c>
      <c r="MS15" s="37">
        <v>9</v>
      </c>
      <c r="MT15" s="7">
        <v>1930</v>
      </c>
      <c r="MX15" s="34" t="s">
        <v>7</v>
      </c>
      <c r="MY15" s="37">
        <v>9</v>
      </c>
      <c r="MZ15" s="7">
        <v>1129</v>
      </c>
      <c r="ND15" s="34" t="s">
        <v>8</v>
      </c>
      <c r="NE15" s="37">
        <v>9</v>
      </c>
      <c r="NF15" s="7">
        <v>3935</v>
      </c>
      <c r="NJ15" s="34" t="s">
        <v>12</v>
      </c>
      <c r="NK15" s="37">
        <v>9</v>
      </c>
      <c r="NL15" s="7"/>
      <c r="NP15" s="34" t="s">
        <v>11</v>
      </c>
      <c r="NQ15" s="37">
        <v>9</v>
      </c>
      <c r="NR15" s="7"/>
      <c r="NV15" s="36"/>
      <c r="NW15" s="34" t="s">
        <v>6</v>
      </c>
      <c r="NX15" s="37">
        <v>8</v>
      </c>
      <c r="NY15" s="7">
        <v>511</v>
      </c>
      <c r="OD15" s="34" t="s">
        <v>7</v>
      </c>
      <c r="OE15" s="37">
        <v>8</v>
      </c>
      <c r="OF15" s="7">
        <v>495</v>
      </c>
      <c r="OJ15" s="34" t="s">
        <v>13</v>
      </c>
      <c r="OK15" s="37">
        <v>8</v>
      </c>
      <c r="OL15" s="7">
        <v>1404</v>
      </c>
      <c r="OP15" s="34" t="s">
        <v>10</v>
      </c>
      <c r="OQ15" s="37">
        <v>8</v>
      </c>
      <c r="OV15" s="34" t="s">
        <v>7</v>
      </c>
      <c r="OW15" s="37">
        <v>8</v>
      </c>
      <c r="PB15" s="34" t="s">
        <v>8</v>
      </c>
      <c r="PC15" s="37">
        <v>8</v>
      </c>
      <c r="PH15" s="34" t="s">
        <v>12</v>
      </c>
      <c r="PI15" s="37">
        <v>8</v>
      </c>
      <c r="PN15" s="34" t="s">
        <v>11</v>
      </c>
      <c r="PO15" s="37">
        <v>8</v>
      </c>
    </row>
    <row r="16" spans="1:434" x14ac:dyDescent="0.3">
      <c r="A16" s="34">
        <v>14</v>
      </c>
      <c r="C16" s="7">
        <v>70</v>
      </c>
      <c r="H16" s="34" t="s">
        <v>60</v>
      </c>
      <c r="J16" s="7"/>
      <c r="N16" s="34">
        <v>14</v>
      </c>
      <c r="P16" s="7">
        <v>70</v>
      </c>
      <c r="U16" s="34" t="s">
        <v>61</v>
      </c>
      <c r="W16" s="7">
        <v>200</v>
      </c>
      <c r="AB16" s="34" t="s">
        <v>62</v>
      </c>
      <c r="AD16" s="7">
        <v>265</v>
      </c>
      <c r="AI16" s="34" t="s">
        <v>57</v>
      </c>
      <c r="AK16" s="7"/>
      <c r="AO16" s="34" t="s">
        <v>62</v>
      </c>
      <c r="AQ16" s="7">
        <v>0</v>
      </c>
      <c r="AU16" s="34" t="s">
        <v>63</v>
      </c>
      <c r="AV16" s="7">
        <v>0</v>
      </c>
      <c r="AZ16" s="34" t="s">
        <v>8</v>
      </c>
      <c r="BA16" s="37">
        <v>14</v>
      </c>
      <c r="BB16" s="7">
        <v>455</v>
      </c>
      <c r="BF16" s="34" t="s">
        <v>12</v>
      </c>
      <c r="BG16" s="37">
        <v>14</v>
      </c>
      <c r="BH16" s="7">
        <v>135</v>
      </c>
      <c r="BL16" s="34" t="s">
        <v>13</v>
      </c>
      <c r="BM16" s="37">
        <v>14</v>
      </c>
      <c r="BN16" s="7"/>
      <c r="BR16" s="34" t="s">
        <v>12</v>
      </c>
      <c r="BS16" s="37">
        <v>14</v>
      </c>
      <c r="BT16" s="1"/>
      <c r="BX16" s="34" t="s">
        <v>13</v>
      </c>
      <c r="BY16" s="37">
        <v>14</v>
      </c>
      <c r="BZ16" s="7">
        <v>26</v>
      </c>
      <c r="CD16" s="34" t="s">
        <v>6</v>
      </c>
      <c r="CE16" s="37">
        <v>14</v>
      </c>
      <c r="CF16" s="7">
        <v>730</v>
      </c>
      <c r="CH16" s="7"/>
      <c r="CJ16" s="34" t="s">
        <v>7</v>
      </c>
      <c r="CK16" s="37">
        <v>14</v>
      </c>
      <c r="CL16" s="7">
        <v>208</v>
      </c>
      <c r="CN16" s="34" t="s">
        <v>8</v>
      </c>
      <c r="CO16" s="37">
        <v>14</v>
      </c>
      <c r="CP16" s="7">
        <v>1068</v>
      </c>
      <c r="CT16" s="34" t="s">
        <v>10</v>
      </c>
      <c r="CU16" s="37">
        <v>14</v>
      </c>
      <c r="CV16" s="7"/>
      <c r="DA16" s="34" t="s">
        <v>11</v>
      </c>
      <c r="DB16" s="37">
        <v>14</v>
      </c>
      <c r="DC16" s="1"/>
      <c r="DG16" s="34" t="s">
        <v>6</v>
      </c>
      <c r="DH16" s="37">
        <v>14</v>
      </c>
      <c r="DI16" s="7">
        <v>2450</v>
      </c>
      <c r="DL16" s="34" t="s">
        <v>12</v>
      </c>
      <c r="DM16" s="37">
        <v>14</v>
      </c>
      <c r="DN16" s="7">
        <v>1002</v>
      </c>
      <c r="DP16" s="7"/>
      <c r="DR16" s="34" t="s">
        <v>13</v>
      </c>
      <c r="DS16" s="37">
        <v>14</v>
      </c>
      <c r="DT16" s="7">
        <v>280</v>
      </c>
      <c r="DX16" s="34" t="s">
        <v>10</v>
      </c>
      <c r="DY16" s="37">
        <v>14</v>
      </c>
      <c r="DZ16" s="7">
        <v>780</v>
      </c>
      <c r="ED16" s="34" t="s">
        <v>7</v>
      </c>
      <c r="EE16" s="37">
        <v>14</v>
      </c>
      <c r="EF16" s="7"/>
      <c r="EK16" s="34" t="s">
        <v>6</v>
      </c>
      <c r="EL16" s="37">
        <v>14</v>
      </c>
      <c r="EM16" s="1"/>
      <c r="EQ16" s="34" t="s">
        <v>7</v>
      </c>
      <c r="ER16" s="37">
        <v>14</v>
      </c>
      <c r="ES16" s="7"/>
      <c r="EW16" s="34" t="s">
        <v>13</v>
      </c>
      <c r="EX16" s="37">
        <v>14</v>
      </c>
      <c r="EY16" s="7"/>
      <c r="FA16" s="7"/>
      <c r="FC16" s="34" t="s">
        <v>10</v>
      </c>
      <c r="FD16" s="37">
        <v>14</v>
      </c>
      <c r="FE16" s="7">
        <v>490</v>
      </c>
      <c r="FI16" s="34" t="s">
        <v>7</v>
      </c>
      <c r="FJ16" s="37">
        <v>14</v>
      </c>
      <c r="FK16" s="7"/>
      <c r="FL16" s="10">
        <v>1002</v>
      </c>
      <c r="FO16" s="34" t="s">
        <v>8</v>
      </c>
      <c r="FP16" s="37">
        <v>14</v>
      </c>
      <c r="FQ16" s="7">
        <v>2045</v>
      </c>
      <c r="FR16" s="12">
        <v>280</v>
      </c>
      <c r="FU16" s="34" t="s">
        <v>12</v>
      </c>
      <c r="FV16" s="37">
        <v>14</v>
      </c>
      <c r="FW16" s="7"/>
      <c r="FX16" s="12">
        <v>780</v>
      </c>
      <c r="GA16" s="34" t="s">
        <v>11</v>
      </c>
      <c r="GB16" s="37">
        <v>14</v>
      </c>
      <c r="GC16" s="7"/>
      <c r="GH16" s="34" t="s">
        <v>6</v>
      </c>
      <c r="GI16" s="37">
        <v>13</v>
      </c>
      <c r="GJ16" s="13"/>
      <c r="GN16" s="34" t="s">
        <v>7</v>
      </c>
      <c r="GO16" s="37">
        <v>13</v>
      </c>
      <c r="GP16" s="15"/>
      <c r="GT16" s="34" t="s">
        <v>13</v>
      </c>
      <c r="GU16" s="37">
        <v>13</v>
      </c>
      <c r="GV16" s="6"/>
      <c r="GW16" s="7"/>
      <c r="GX16" s="7"/>
      <c r="GZ16" s="34" t="s">
        <v>10</v>
      </c>
      <c r="HA16" s="37">
        <v>13</v>
      </c>
      <c r="HB16" s="15">
        <v>217</v>
      </c>
      <c r="HF16" s="34" t="s">
        <v>7</v>
      </c>
      <c r="HG16" s="37">
        <v>13</v>
      </c>
      <c r="HH16" s="15">
        <v>660</v>
      </c>
      <c r="HI16" s="10"/>
      <c r="HL16" s="34" t="s">
        <v>8</v>
      </c>
      <c r="HM16" s="37">
        <v>13</v>
      </c>
      <c r="HN16" s="15">
        <v>3260</v>
      </c>
      <c r="HO16" s="12"/>
      <c r="HR16" s="34" t="s">
        <v>12</v>
      </c>
      <c r="HS16" s="37">
        <v>13</v>
      </c>
      <c r="HT16" s="15"/>
      <c r="HU16" s="12"/>
      <c r="HV16" s="19">
        <v>8</v>
      </c>
      <c r="HX16" s="34" t="s">
        <v>11</v>
      </c>
      <c r="HY16" s="37">
        <v>13</v>
      </c>
      <c r="HZ16" s="15"/>
      <c r="IJ16" s="34" t="s">
        <v>7</v>
      </c>
      <c r="IK16" s="37">
        <v>12</v>
      </c>
      <c r="IL16" s="6"/>
      <c r="IP16" s="34" t="s">
        <v>13</v>
      </c>
      <c r="IQ16" s="37">
        <v>12</v>
      </c>
      <c r="IR16" s="6"/>
      <c r="IV16" s="34" t="s">
        <v>10</v>
      </c>
      <c r="IW16" s="37">
        <v>12</v>
      </c>
      <c r="IX16" s="7"/>
      <c r="JA16" s="37"/>
      <c r="JB16" s="34" t="s">
        <v>7</v>
      </c>
      <c r="JC16" s="37">
        <v>12</v>
      </c>
      <c r="JD16" s="7">
        <v>320</v>
      </c>
      <c r="JH16" s="34" t="s">
        <v>8</v>
      </c>
      <c r="JI16" s="37">
        <v>12</v>
      </c>
      <c r="JJ16" s="7">
        <v>1800</v>
      </c>
      <c r="JN16" s="34" t="s">
        <v>12</v>
      </c>
      <c r="JO16" s="37">
        <v>12</v>
      </c>
      <c r="JT16" s="34" t="s">
        <v>11</v>
      </c>
      <c r="JU16" s="37">
        <v>12</v>
      </c>
      <c r="JV16" s="7"/>
      <c r="KA16" s="34" t="s">
        <v>12</v>
      </c>
      <c r="KB16" s="37">
        <v>12</v>
      </c>
      <c r="KC16" s="7"/>
      <c r="KH16" s="34" t="s">
        <v>13</v>
      </c>
      <c r="KI16" s="37">
        <v>12</v>
      </c>
      <c r="KJ16" s="7"/>
      <c r="KN16" s="34" t="s">
        <v>8</v>
      </c>
      <c r="KO16" s="37">
        <v>11</v>
      </c>
      <c r="KP16" s="7">
        <v>1770</v>
      </c>
      <c r="KT16" s="34" t="s">
        <v>12</v>
      </c>
      <c r="KU16" s="37">
        <v>11</v>
      </c>
      <c r="KV16" s="7"/>
      <c r="KZ16" s="34" t="s">
        <v>11</v>
      </c>
      <c r="LA16" s="37">
        <v>11</v>
      </c>
      <c r="LB16" s="7">
        <v>360</v>
      </c>
      <c r="LF16" s="34" t="s">
        <v>6</v>
      </c>
      <c r="LG16" s="37">
        <v>11</v>
      </c>
      <c r="LH16" s="7">
        <v>4390</v>
      </c>
      <c r="LL16" s="34" t="s">
        <v>7</v>
      </c>
      <c r="LM16" s="37">
        <v>11</v>
      </c>
      <c r="LN16" s="7"/>
      <c r="LR16" s="34" t="s">
        <v>13</v>
      </c>
      <c r="LS16" s="37">
        <v>11</v>
      </c>
      <c r="LT16" s="7"/>
      <c r="LX16" s="36"/>
      <c r="LY16" s="34" t="s">
        <v>10</v>
      </c>
      <c r="LZ16" s="37">
        <v>10</v>
      </c>
      <c r="MA16" s="7"/>
      <c r="MF16" s="34" t="s">
        <v>11</v>
      </c>
      <c r="MG16" s="37">
        <v>10</v>
      </c>
      <c r="MH16" s="7"/>
      <c r="ML16" s="34" t="s">
        <v>8</v>
      </c>
      <c r="MM16" s="37">
        <v>10</v>
      </c>
      <c r="MN16" s="7">
        <v>2047</v>
      </c>
      <c r="MR16" s="34" t="s">
        <v>12</v>
      </c>
      <c r="MS16" s="37">
        <v>10</v>
      </c>
      <c r="MT16" s="7"/>
      <c r="MX16" s="34" t="s">
        <v>11</v>
      </c>
      <c r="MY16" s="37">
        <v>10</v>
      </c>
      <c r="MZ16" s="7">
        <v>2232</v>
      </c>
      <c r="ND16" s="34" t="s">
        <v>6</v>
      </c>
      <c r="NE16" s="37">
        <v>10</v>
      </c>
      <c r="NF16" s="7">
        <v>5603</v>
      </c>
      <c r="NJ16" s="34" t="s">
        <v>7</v>
      </c>
      <c r="NK16" s="37">
        <v>10</v>
      </c>
      <c r="NL16" s="7"/>
      <c r="NP16" s="34" t="s">
        <v>13</v>
      </c>
      <c r="NQ16" s="37">
        <v>10</v>
      </c>
      <c r="NR16" s="7"/>
      <c r="NV16" s="36"/>
      <c r="NW16" s="34" t="s">
        <v>10</v>
      </c>
      <c r="NX16" s="37">
        <v>9</v>
      </c>
      <c r="NY16" s="7"/>
      <c r="OD16" s="34" t="s">
        <v>11</v>
      </c>
      <c r="OE16" s="37">
        <v>9</v>
      </c>
      <c r="OF16" s="7">
        <v>130</v>
      </c>
      <c r="OJ16" s="34" t="s">
        <v>8</v>
      </c>
      <c r="OK16" s="37">
        <v>9</v>
      </c>
      <c r="OL16" s="7">
        <v>2364</v>
      </c>
      <c r="OP16" s="34" t="s">
        <v>12</v>
      </c>
      <c r="OQ16" s="37">
        <v>9</v>
      </c>
      <c r="OV16" s="34" t="s">
        <v>11</v>
      </c>
      <c r="OW16" s="37">
        <v>9</v>
      </c>
      <c r="PB16" s="34" t="s">
        <v>6</v>
      </c>
      <c r="PC16" s="37">
        <v>9</v>
      </c>
      <c r="PH16" s="34" t="s">
        <v>7</v>
      </c>
      <c r="PI16" s="37">
        <v>9</v>
      </c>
      <c r="PN16" s="34" t="s">
        <v>13</v>
      </c>
      <c r="PO16" s="37">
        <v>9</v>
      </c>
    </row>
    <row r="17" spans="1:431" x14ac:dyDescent="0.3">
      <c r="A17" s="34">
        <v>15</v>
      </c>
      <c r="C17" s="7">
        <v>25</v>
      </c>
      <c r="H17" s="34">
        <v>15</v>
      </c>
      <c r="J17" s="7"/>
      <c r="N17" s="34">
        <v>15</v>
      </c>
      <c r="P17" s="7">
        <v>70</v>
      </c>
      <c r="U17" s="34" t="s">
        <v>64</v>
      </c>
      <c r="W17" s="7">
        <v>225</v>
      </c>
      <c r="AB17" s="38" t="s">
        <v>65</v>
      </c>
      <c r="AD17" s="7">
        <v>355</v>
      </c>
      <c r="AI17" s="34" t="s">
        <v>61</v>
      </c>
      <c r="AK17" s="7"/>
      <c r="AO17" s="38" t="s">
        <v>37</v>
      </c>
      <c r="AQ17" s="7"/>
      <c r="AU17" s="34" t="s">
        <v>66</v>
      </c>
      <c r="AV17" s="7">
        <v>0</v>
      </c>
      <c r="AZ17" s="34" t="s">
        <v>6</v>
      </c>
      <c r="BA17" s="37">
        <v>15</v>
      </c>
      <c r="BB17" s="7">
        <v>520</v>
      </c>
      <c r="BF17" s="34" t="s">
        <v>7</v>
      </c>
      <c r="BG17" s="37">
        <v>15</v>
      </c>
      <c r="BH17" s="7">
        <v>695</v>
      </c>
      <c r="BL17" s="34" t="s">
        <v>8</v>
      </c>
      <c r="BM17" s="37">
        <v>15</v>
      </c>
      <c r="BN17" s="7"/>
      <c r="BR17" s="34" t="s">
        <v>7</v>
      </c>
      <c r="BS17" s="37">
        <v>15</v>
      </c>
      <c r="BT17" s="1"/>
      <c r="BX17" s="34" t="s">
        <v>8</v>
      </c>
      <c r="BY17" s="37">
        <v>15</v>
      </c>
      <c r="BZ17" s="7">
        <v>380</v>
      </c>
      <c r="CD17" s="34" t="s">
        <v>10</v>
      </c>
      <c r="CE17" s="37">
        <v>15</v>
      </c>
      <c r="CF17" s="7">
        <v>445</v>
      </c>
      <c r="CH17" s="7"/>
      <c r="CJ17" s="34" t="s">
        <v>11</v>
      </c>
      <c r="CK17" s="37">
        <v>15</v>
      </c>
      <c r="CL17" s="7">
        <v>177</v>
      </c>
      <c r="CN17" s="34" t="s">
        <v>6</v>
      </c>
      <c r="CO17" s="37">
        <v>15</v>
      </c>
      <c r="CP17" s="7">
        <v>2890</v>
      </c>
      <c r="CT17" s="34" t="s">
        <v>12</v>
      </c>
      <c r="CU17" s="37">
        <v>15</v>
      </c>
      <c r="CV17" s="7"/>
      <c r="DA17" s="34" t="s">
        <v>13</v>
      </c>
      <c r="DB17" s="37">
        <v>15</v>
      </c>
      <c r="DC17" s="1"/>
      <c r="DG17" s="34" t="s">
        <v>10</v>
      </c>
      <c r="DH17" s="37">
        <v>15</v>
      </c>
      <c r="DI17" s="7">
        <v>70</v>
      </c>
      <c r="DL17" s="34" t="s">
        <v>7</v>
      </c>
      <c r="DM17" s="37">
        <v>15</v>
      </c>
      <c r="DN17" s="7">
        <v>140</v>
      </c>
      <c r="DP17" s="7"/>
      <c r="DR17" s="34" t="s">
        <v>8</v>
      </c>
      <c r="DS17" s="37">
        <v>15</v>
      </c>
      <c r="DT17" s="7">
        <v>1721</v>
      </c>
      <c r="DX17" s="34" t="s">
        <v>12</v>
      </c>
      <c r="DY17" s="37">
        <v>15</v>
      </c>
      <c r="DZ17" s="7">
        <v>267</v>
      </c>
      <c r="ED17" s="34" t="s">
        <v>11</v>
      </c>
      <c r="EE17" s="37">
        <v>15</v>
      </c>
      <c r="EF17" s="7"/>
      <c r="EK17" s="34" t="s">
        <v>10</v>
      </c>
      <c r="EL17" s="37">
        <v>15</v>
      </c>
      <c r="EM17" s="1"/>
      <c r="EQ17" s="34" t="s">
        <v>11</v>
      </c>
      <c r="ER17" s="37">
        <v>15</v>
      </c>
      <c r="ES17" s="7"/>
      <c r="EW17" s="34" t="s">
        <v>8</v>
      </c>
      <c r="EX17" s="37">
        <v>15</v>
      </c>
      <c r="EY17" s="7"/>
      <c r="FA17" s="7"/>
      <c r="FC17" s="34" t="s">
        <v>12</v>
      </c>
      <c r="FD17" s="37">
        <v>15</v>
      </c>
      <c r="FE17" s="7">
        <v>130</v>
      </c>
      <c r="FI17" s="34" t="s">
        <v>11</v>
      </c>
      <c r="FJ17" s="37">
        <v>15</v>
      </c>
      <c r="FK17" s="7"/>
      <c r="FL17" s="10">
        <v>140</v>
      </c>
      <c r="FO17" s="34" t="s">
        <v>6</v>
      </c>
      <c r="FP17" s="37">
        <v>15</v>
      </c>
      <c r="FQ17" s="7">
        <v>2960</v>
      </c>
      <c r="FR17" s="12">
        <v>1721</v>
      </c>
      <c r="FU17" s="34" t="s">
        <v>7</v>
      </c>
      <c r="FV17" s="37">
        <v>15</v>
      </c>
      <c r="FW17" s="7"/>
      <c r="FX17" s="12">
        <v>267</v>
      </c>
      <c r="GA17" s="34" t="s">
        <v>13</v>
      </c>
      <c r="GB17" s="37">
        <v>15</v>
      </c>
      <c r="GC17" s="7"/>
      <c r="GH17" s="34" t="s">
        <v>10</v>
      </c>
      <c r="GI17" s="37">
        <v>14</v>
      </c>
      <c r="GJ17" s="13"/>
      <c r="GN17" s="34" t="s">
        <v>11</v>
      </c>
      <c r="GO17" s="37">
        <v>14</v>
      </c>
      <c r="GP17" s="15"/>
      <c r="GT17" s="34" t="s">
        <v>8</v>
      </c>
      <c r="GU17" s="37">
        <v>14</v>
      </c>
      <c r="GV17" s="6">
        <v>2220</v>
      </c>
      <c r="GW17" s="7"/>
      <c r="GX17" s="7"/>
      <c r="GZ17" s="34" t="s">
        <v>12</v>
      </c>
      <c r="HA17" s="37">
        <v>14</v>
      </c>
      <c r="HB17" s="15"/>
      <c r="HF17" s="34" t="s">
        <v>11</v>
      </c>
      <c r="HG17" s="37">
        <v>14</v>
      </c>
      <c r="HH17" s="15">
        <v>4250</v>
      </c>
      <c r="HI17" s="10"/>
      <c r="HL17" s="34" t="s">
        <v>6</v>
      </c>
      <c r="HM17" s="37">
        <v>14</v>
      </c>
      <c r="HN17" s="15">
        <v>1130</v>
      </c>
      <c r="HO17" s="12"/>
      <c r="HR17" s="34" t="s">
        <v>7</v>
      </c>
      <c r="HS17" s="37">
        <v>14</v>
      </c>
      <c r="HT17" s="15"/>
      <c r="HU17" s="12"/>
      <c r="HX17" s="34" t="s">
        <v>13</v>
      </c>
      <c r="HY17" s="37">
        <v>14</v>
      </c>
      <c r="HZ17" s="15"/>
      <c r="IJ17" s="34" t="s">
        <v>11</v>
      </c>
      <c r="IK17" s="37">
        <v>13</v>
      </c>
      <c r="IL17" s="6"/>
      <c r="IP17" s="34" t="s">
        <v>8</v>
      </c>
      <c r="IQ17" s="37">
        <v>13</v>
      </c>
      <c r="IR17" s="6">
        <v>210</v>
      </c>
      <c r="IV17" s="34" t="s">
        <v>12</v>
      </c>
      <c r="IW17" s="37">
        <v>13</v>
      </c>
      <c r="IX17" s="7">
        <v>260</v>
      </c>
      <c r="JA17" s="37"/>
      <c r="JB17" s="34" t="s">
        <v>11</v>
      </c>
      <c r="JC17" s="37">
        <v>13</v>
      </c>
      <c r="JD17" s="7">
        <v>345</v>
      </c>
      <c r="JH17" s="34" t="s">
        <v>6</v>
      </c>
      <c r="JI17" s="37">
        <v>13</v>
      </c>
      <c r="JJ17" s="7">
        <v>1300</v>
      </c>
      <c r="JN17" s="34" t="s">
        <v>7</v>
      </c>
      <c r="JO17" s="37">
        <v>13</v>
      </c>
      <c r="JP17" s="7"/>
      <c r="JT17" s="34" t="s">
        <v>13</v>
      </c>
      <c r="JU17" s="37">
        <v>13</v>
      </c>
      <c r="JV17" s="7"/>
      <c r="KA17" s="34" t="s">
        <v>7</v>
      </c>
      <c r="KB17" s="37">
        <v>13</v>
      </c>
      <c r="KC17" s="7"/>
      <c r="KH17" s="34" t="s">
        <v>8</v>
      </c>
      <c r="KI17" s="37">
        <v>13</v>
      </c>
      <c r="KJ17" s="7">
        <v>570</v>
      </c>
      <c r="KN17" s="34" t="s">
        <v>6</v>
      </c>
      <c r="KO17" s="37">
        <v>12</v>
      </c>
      <c r="KP17" s="7">
        <v>450</v>
      </c>
      <c r="KT17" s="34" t="s">
        <v>7</v>
      </c>
      <c r="KU17" s="37">
        <v>12</v>
      </c>
      <c r="KV17" s="7"/>
      <c r="KZ17" s="34" t="s">
        <v>13</v>
      </c>
      <c r="LA17" s="37">
        <v>12</v>
      </c>
      <c r="LB17" s="7">
        <v>375</v>
      </c>
      <c r="LF17" s="34" t="s">
        <v>10</v>
      </c>
      <c r="LG17" s="37">
        <v>12</v>
      </c>
      <c r="LH17" s="7">
        <v>1700</v>
      </c>
      <c r="LL17" s="34" t="s">
        <v>11</v>
      </c>
      <c r="LM17" s="37">
        <v>12</v>
      </c>
      <c r="LN17" s="7"/>
      <c r="LR17" s="34" t="s">
        <v>8</v>
      </c>
      <c r="LS17" s="37">
        <v>12</v>
      </c>
      <c r="LT17" s="7"/>
      <c r="LX17" s="36"/>
      <c r="LY17" s="34" t="s">
        <v>12</v>
      </c>
      <c r="LZ17" s="37">
        <v>11</v>
      </c>
      <c r="MA17" s="7"/>
      <c r="MF17" s="34" t="s">
        <v>13</v>
      </c>
      <c r="MG17" s="37">
        <v>11</v>
      </c>
      <c r="MH17" s="7"/>
      <c r="ML17" s="34" t="s">
        <v>6</v>
      </c>
      <c r="MM17" s="37">
        <v>11</v>
      </c>
      <c r="MN17" s="7">
        <v>2543</v>
      </c>
      <c r="MR17" s="34" t="s">
        <v>7</v>
      </c>
      <c r="MS17" s="37">
        <v>11</v>
      </c>
      <c r="MT17" s="7">
        <v>485</v>
      </c>
      <c r="MX17" s="34" t="s">
        <v>13</v>
      </c>
      <c r="MY17" s="37">
        <v>11</v>
      </c>
      <c r="MZ17" s="7">
        <v>1278</v>
      </c>
      <c r="ND17" s="34" t="s">
        <v>10</v>
      </c>
      <c r="NE17" s="37">
        <v>11</v>
      </c>
      <c r="NF17" s="7">
        <v>972</v>
      </c>
      <c r="NJ17" s="34" t="s">
        <v>11</v>
      </c>
      <c r="NK17" s="37">
        <v>11</v>
      </c>
      <c r="NL17" s="7"/>
      <c r="NP17" s="34" t="s">
        <v>8</v>
      </c>
      <c r="NQ17" s="37">
        <v>11</v>
      </c>
      <c r="NR17" s="7">
        <v>470</v>
      </c>
      <c r="NV17" s="36"/>
      <c r="NW17" s="34" t="s">
        <v>12</v>
      </c>
      <c r="NX17" s="37">
        <v>10</v>
      </c>
      <c r="NY17" s="7"/>
      <c r="OD17" s="34" t="s">
        <v>13</v>
      </c>
      <c r="OE17" s="37">
        <v>10</v>
      </c>
      <c r="OF17" s="7"/>
      <c r="OJ17" s="34" t="s">
        <v>6</v>
      </c>
      <c r="OK17" s="37">
        <v>10</v>
      </c>
      <c r="OL17" s="7"/>
      <c r="OP17" s="34" t="s">
        <v>7</v>
      </c>
      <c r="OQ17" s="37">
        <v>10</v>
      </c>
      <c r="OV17" s="34" t="s">
        <v>13</v>
      </c>
      <c r="OW17" s="37">
        <v>10</v>
      </c>
      <c r="PB17" s="34" t="s">
        <v>10</v>
      </c>
      <c r="PC17" s="37">
        <v>10</v>
      </c>
      <c r="PH17" s="34" t="s">
        <v>11</v>
      </c>
      <c r="PI17" s="37">
        <v>10</v>
      </c>
      <c r="PN17" s="34" t="s">
        <v>8</v>
      </c>
      <c r="PO17" s="37">
        <v>10</v>
      </c>
    </row>
    <row r="18" spans="1:431" x14ac:dyDescent="0.3">
      <c r="A18" s="34" t="s">
        <v>67</v>
      </c>
      <c r="C18" s="7">
        <v>25</v>
      </c>
      <c r="H18" s="34">
        <v>16</v>
      </c>
      <c r="J18" s="7"/>
      <c r="N18" s="34">
        <v>16</v>
      </c>
      <c r="P18" s="7">
        <v>210</v>
      </c>
      <c r="U18" s="34" t="s">
        <v>68</v>
      </c>
      <c r="W18" s="7">
        <v>960</v>
      </c>
      <c r="AB18" s="34" t="s">
        <v>69</v>
      </c>
      <c r="AD18" s="7">
        <v>110</v>
      </c>
      <c r="AI18" s="34" t="s">
        <v>64</v>
      </c>
      <c r="AK18" s="7"/>
      <c r="AO18" s="34" t="s">
        <v>69</v>
      </c>
      <c r="AQ18" s="7">
        <v>15</v>
      </c>
      <c r="AU18" s="34" t="s">
        <v>67</v>
      </c>
      <c r="AV18" s="7">
        <v>90</v>
      </c>
      <c r="AZ18" s="34" t="s">
        <v>10</v>
      </c>
      <c r="BA18" s="37">
        <v>16</v>
      </c>
      <c r="BB18" s="7">
        <v>185</v>
      </c>
      <c r="BF18" s="34" t="s">
        <v>11</v>
      </c>
      <c r="BG18" s="37">
        <v>16</v>
      </c>
      <c r="BH18" s="7">
        <v>505</v>
      </c>
      <c r="BI18" s="7"/>
      <c r="BL18" s="34" t="s">
        <v>6</v>
      </c>
      <c r="BM18" s="37">
        <v>16</v>
      </c>
      <c r="BN18" s="7"/>
      <c r="BR18" s="34" t="s">
        <v>11</v>
      </c>
      <c r="BS18" s="37">
        <v>16</v>
      </c>
      <c r="BT18" s="1">
        <v>230</v>
      </c>
      <c r="BX18" s="34" t="s">
        <v>6</v>
      </c>
      <c r="BY18" s="37">
        <v>16</v>
      </c>
      <c r="BZ18" s="7">
        <v>380</v>
      </c>
      <c r="CD18" s="34" t="s">
        <v>12</v>
      </c>
      <c r="CE18" s="37">
        <v>16</v>
      </c>
      <c r="CF18" s="7">
        <v>355</v>
      </c>
      <c r="CH18" s="7"/>
      <c r="CJ18" s="34" t="s">
        <v>13</v>
      </c>
      <c r="CK18" s="37">
        <v>16</v>
      </c>
      <c r="CL18" s="7">
        <v>366</v>
      </c>
      <c r="CM18" s="7"/>
      <c r="CN18" s="34" t="s">
        <v>10</v>
      </c>
      <c r="CO18" s="37">
        <v>16</v>
      </c>
      <c r="CP18" s="7"/>
      <c r="CT18" s="34" t="s">
        <v>7</v>
      </c>
      <c r="CU18" s="37">
        <v>16</v>
      </c>
      <c r="CV18" s="7"/>
      <c r="DA18" s="34" t="s">
        <v>8</v>
      </c>
      <c r="DB18" s="37">
        <v>16</v>
      </c>
      <c r="DC18" s="1"/>
      <c r="DG18" s="34" t="s">
        <v>12</v>
      </c>
      <c r="DH18" s="37">
        <v>16</v>
      </c>
      <c r="DI18" s="7">
        <v>80</v>
      </c>
      <c r="DL18" s="34" t="s">
        <v>11</v>
      </c>
      <c r="DM18" s="37">
        <v>16</v>
      </c>
      <c r="DN18" s="7">
        <v>110</v>
      </c>
      <c r="DP18" s="7"/>
      <c r="DR18" s="34" t="s">
        <v>6</v>
      </c>
      <c r="DS18" s="37">
        <v>16</v>
      </c>
      <c r="DT18" s="7">
        <v>761</v>
      </c>
      <c r="DX18" s="34" t="s">
        <v>7</v>
      </c>
      <c r="DY18" s="37">
        <v>16</v>
      </c>
      <c r="DZ18" s="7">
        <v>775</v>
      </c>
      <c r="ED18" s="34" t="s">
        <v>13</v>
      </c>
      <c r="EE18" s="37">
        <v>16</v>
      </c>
      <c r="EF18" s="7"/>
      <c r="EK18" s="34" t="s">
        <v>12</v>
      </c>
      <c r="EL18" s="37">
        <v>16</v>
      </c>
      <c r="EM18" s="1"/>
      <c r="EQ18" s="34" t="s">
        <v>13</v>
      </c>
      <c r="ER18" s="37">
        <v>16</v>
      </c>
      <c r="ES18" s="7"/>
      <c r="EW18" s="34" t="s">
        <v>6</v>
      </c>
      <c r="EX18" s="37">
        <v>16</v>
      </c>
      <c r="EY18" s="7"/>
      <c r="FA18" s="7"/>
      <c r="FC18" s="34" t="s">
        <v>7</v>
      </c>
      <c r="FD18" s="37">
        <v>16</v>
      </c>
      <c r="FE18" s="7">
        <v>881</v>
      </c>
      <c r="FI18" s="34" t="s">
        <v>13</v>
      </c>
      <c r="FJ18" s="37">
        <v>16</v>
      </c>
      <c r="FK18" s="7"/>
      <c r="FL18" s="10">
        <v>110</v>
      </c>
      <c r="FO18" s="34" t="s">
        <v>10</v>
      </c>
      <c r="FP18" s="37">
        <v>16</v>
      </c>
      <c r="FQ18" s="7"/>
      <c r="FR18" s="12">
        <v>761</v>
      </c>
      <c r="FU18" s="34" t="s">
        <v>11</v>
      </c>
      <c r="FV18" s="37">
        <v>16</v>
      </c>
      <c r="FW18" s="7"/>
      <c r="FX18" s="12">
        <v>775</v>
      </c>
      <c r="GA18" s="34" t="s">
        <v>8</v>
      </c>
      <c r="GB18" s="37">
        <v>16</v>
      </c>
      <c r="GC18" s="7"/>
      <c r="GH18" s="34" t="s">
        <v>12</v>
      </c>
      <c r="GI18" s="37">
        <v>15</v>
      </c>
      <c r="GJ18" s="13"/>
      <c r="GN18" s="34" t="s">
        <v>13</v>
      </c>
      <c r="GO18" s="37">
        <v>15</v>
      </c>
      <c r="GP18" s="15"/>
      <c r="GT18" s="34" t="s">
        <v>6</v>
      </c>
      <c r="GU18" s="37">
        <v>15</v>
      </c>
      <c r="GV18" s="6">
        <v>2370</v>
      </c>
      <c r="GW18" s="7"/>
      <c r="GX18" s="7"/>
      <c r="GZ18" s="34" t="s">
        <v>7</v>
      </c>
      <c r="HA18" s="37">
        <v>15</v>
      </c>
      <c r="HB18" s="15">
        <v>674</v>
      </c>
      <c r="HF18" s="34" t="s">
        <v>13</v>
      </c>
      <c r="HG18" s="37">
        <v>15</v>
      </c>
      <c r="HH18" s="15">
        <v>1330</v>
      </c>
      <c r="HI18" s="10"/>
      <c r="HL18" s="34" t="s">
        <v>10</v>
      </c>
      <c r="HM18" s="37">
        <v>15</v>
      </c>
      <c r="HN18" s="15">
        <v>510</v>
      </c>
      <c r="HO18" s="12"/>
      <c r="HR18" s="34" t="s">
        <v>11</v>
      </c>
      <c r="HS18" s="37">
        <v>15</v>
      </c>
      <c r="HT18" s="15"/>
      <c r="HU18" s="12"/>
      <c r="HX18" s="34" t="s">
        <v>8</v>
      </c>
      <c r="HY18" s="37">
        <v>15</v>
      </c>
      <c r="HZ18" s="15"/>
      <c r="IJ18" s="34" t="s">
        <v>13</v>
      </c>
      <c r="IK18" s="37">
        <v>14</v>
      </c>
      <c r="IL18" s="6"/>
      <c r="IP18" s="34" t="s">
        <v>6</v>
      </c>
      <c r="IQ18" s="37">
        <v>14</v>
      </c>
      <c r="IR18" s="6">
        <v>500</v>
      </c>
      <c r="IV18" s="34" t="s">
        <v>7</v>
      </c>
      <c r="IW18" s="37">
        <v>14</v>
      </c>
      <c r="IX18" s="7">
        <v>600</v>
      </c>
      <c r="JA18" s="37"/>
      <c r="JB18" s="34" t="s">
        <v>13</v>
      </c>
      <c r="JC18" s="37">
        <v>14</v>
      </c>
      <c r="JD18" s="7">
        <v>2820</v>
      </c>
      <c r="JH18" s="34" t="s">
        <v>10</v>
      </c>
      <c r="JI18" s="37">
        <v>14</v>
      </c>
      <c r="JJ18" s="7">
        <v>910</v>
      </c>
      <c r="JN18" s="34" t="s">
        <v>11</v>
      </c>
      <c r="JO18" s="37">
        <v>14</v>
      </c>
      <c r="JP18" s="7"/>
      <c r="JT18" s="34" t="s">
        <v>8</v>
      </c>
      <c r="JU18" s="37">
        <v>14</v>
      </c>
      <c r="JV18" s="7"/>
      <c r="KA18" s="34" t="s">
        <v>11</v>
      </c>
      <c r="KB18" s="37">
        <v>14</v>
      </c>
      <c r="KC18" s="7"/>
      <c r="KH18" s="34" t="s">
        <v>6</v>
      </c>
      <c r="KI18" s="37">
        <v>14</v>
      </c>
      <c r="KJ18" s="7">
        <v>430</v>
      </c>
      <c r="KN18" s="34" t="s">
        <v>10</v>
      </c>
      <c r="KO18" s="37">
        <v>13</v>
      </c>
      <c r="KP18" s="7"/>
      <c r="KT18" s="34" t="s">
        <v>11</v>
      </c>
      <c r="KU18" s="37">
        <v>13</v>
      </c>
      <c r="KV18" s="7">
        <v>225</v>
      </c>
      <c r="KZ18" s="34" t="s">
        <v>8</v>
      </c>
      <c r="LA18" s="37">
        <v>13</v>
      </c>
      <c r="LB18" s="7">
        <v>1090</v>
      </c>
      <c r="LF18" s="34" t="s">
        <v>12</v>
      </c>
      <c r="LG18" s="37">
        <v>13</v>
      </c>
      <c r="LH18" s="7">
        <v>355</v>
      </c>
      <c r="LL18" s="34" t="s">
        <v>13</v>
      </c>
      <c r="LM18" s="37">
        <v>13</v>
      </c>
      <c r="LN18" s="7"/>
      <c r="LR18" s="34" t="s">
        <v>6</v>
      </c>
      <c r="LS18" s="37">
        <v>13</v>
      </c>
      <c r="LT18" s="7">
        <v>260</v>
      </c>
      <c r="LX18" s="36"/>
      <c r="LY18" s="34" t="s">
        <v>7</v>
      </c>
      <c r="LZ18" s="37">
        <v>12</v>
      </c>
      <c r="MA18" s="7"/>
      <c r="MF18" s="34" t="s">
        <v>8</v>
      </c>
      <c r="MG18" s="37">
        <v>12</v>
      </c>
      <c r="MH18" s="7">
        <v>705</v>
      </c>
      <c r="ML18" s="34" t="s">
        <v>10</v>
      </c>
      <c r="MM18" s="37">
        <v>12</v>
      </c>
      <c r="MN18" s="7"/>
      <c r="MR18" s="34" t="s">
        <v>11</v>
      </c>
      <c r="MS18" s="37">
        <v>12</v>
      </c>
      <c r="MT18" s="7">
        <v>778</v>
      </c>
      <c r="MX18" s="34" t="s">
        <v>8</v>
      </c>
      <c r="MY18" s="37">
        <v>12</v>
      </c>
      <c r="MZ18" s="7">
        <v>4935</v>
      </c>
      <c r="ND18" s="34" t="s">
        <v>12</v>
      </c>
      <c r="NE18" s="37">
        <v>12</v>
      </c>
      <c r="NF18" s="7">
        <v>1861</v>
      </c>
      <c r="NJ18" s="34" t="s">
        <v>13</v>
      </c>
      <c r="NK18" s="37">
        <v>12</v>
      </c>
      <c r="NL18" s="7"/>
      <c r="NP18" s="34" t="s">
        <v>6</v>
      </c>
      <c r="NQ18" s="37">
        <v>12</v>
      </c>
      <c r="NR18" s="7">
        <v>720</v>
      </c>
      <c r="NV18" s="36"/>
      <c r="NW18" s="34" t="s">
        <v>7</v>
      </c>
      <c r="NX18" s="37">
        <v>11</v>
      </c>
      <c r="NY18" s="7"/>
      <c r="OD18" s="34" t="s">
        <v>8</v>
      </c>
      <c r="OE18" s="37">
        <v>11</v>
      </c>
      <c r="OF18" s="7"/>
      <c r="OJ18" s="34" t="s">
        <v>10</v>
      </c>
      <c r="OK18" s="37">
        <v>11</v>
      </c>
      <c r="OL18" s="7">
        <v>931</v>
      </c>
      <c r="OP18" s="34" t="s">
        <v>11</v>
      </c>
      <c r="OQ18" s="37">
        <v>11</v>
      </c>
      <c r="OV18" s="34" t="s">
        <v>8</v>
      </c>
      <c r="OW18" s="37">
        <v>11</v>
      </c>
      <c r="PB18" s="34" t="s">
        <v>12</v>
      </c>
      <c r="PC18" s="37">
        <v>11</v>
      </c>
      <c r="PH18" s="34" t="s">
        <v>13</v>
      </c>
      <c r="PI18" s="37">
        <v>11</v>
      </c>
      <c r="PN18" s="34" t="s">
        <v>6</v>
      </c>
      <c r="PO18" s="37">
        <v>11</v>
      </c>
    </row>
    <row r="19" spans="1:431" x14ac:dyDescent="0.3">
      <c r="A19" s="34" t="s">
        <v>70</v>
      </c>
      <c r="C19" s="7">
        <v>180</v>
      </c>
      <c r="H19" s="34">
        <v>17</v>
      </c>
      <c r="J19" s="7"/>
      <c r="N19" s="34" t="s">
        <v>71</v>
      </c>
      <c r="P19" s="7">
        <v>600</v>
      </c>
      <c r="U19" s="34" t="s">
        <v>72</v>
      </c>
      <c r="W19" s="7">
        <v>140</v>
      </c>
      <c r="AB19" s="34" t="s">
        <v>73</v>
      </c>
      <c r="AD19" s="7"/>
      <c r="AI19" s="34" t="s">
        <v>68</v>
      </c>
      <c r="AK19" s="7"/>
      <c r="AL19" s="7"/>
      <c r="AO19" s="34" t="s">
        <v>73</v>
      </c>
      <c r="AQ19" s="7"/>
      <c r="AU19" s="34" t="s">
        <v>70</v>
      </c>
      <c r="AV19" s="7">
        <v>110</v>
      </c>
      <c r="AZ19" s="34" t="s">
        <v>12</v>
      </c>
      <c r="BA19" s="37">
        <v>17</v>
      </c>
      <c r="BB19" s="7">
        <v>60</v>
      </c>
      <c r="BF19" s="34" t="s">
        <v>13</v>
      </c>
      <c r="BG19" s="37">
        <v>17</v>
      </c>
      <c r="BH19" s="7">
        <v>140</v>
      </c>
      <c r="BL19" s="34" t="s">
        <v>10</v>
      </c>
      <c r="BM19" s="37">
        <v>17</v>
      </c>
      <c r="BN19" s="7"/>
      <c r="BR19" s="34" t="s">
        <v>13</v>
      </c>
      <c r="BS19" s="37">
        <v>17</v>
      </c>
      <c r="BT19" s="1">
        <v>0</v>
      </c>
      <c r="BX19" s="34" t="s">
        <v>10</v>
      </c>
      <c r="BY19" s="37">
        <v>17</v>
      </c>
      <c r="BZ19" s="7"/>
      <c r="CD19" s="34" t="s">
        <v>7</v>
      </c>
      <c r="CE19" s="37">
        <v>17</v>
      </c>
      <c r="CF19" s="7">
        <v>240</v>
      </c>
      <c r="CH19" s="7"/>
      <c r="CJ19" s="34" t="s">
        <v>8</v>
      </c>
      <c r="CK19" s="37">
        <v>17</v>
      </c>
      <c r="CL19" s="7">
        <v>0</v>
      </c>
      <c r="CM19" s="7"/>
      <c r="CN19" s="34" t="s">
        <v>12</v>
      </c>
      <c r="CO19" s="37">
        <v>17</v>
      </c>
      <c r="CP19" s="7"/>
      <c r="CT19" s="34" t="s">
        <v>11</v>
      </c>
      <c r="CU19" s="37">
        <v>17</v>
      </c>
      <c r="CV19" s="7"/>
      <c r="DA19" s="34" t="s">
        <v>6</v>
      </c>
      <c r="DB19" s="37">
        <v>17</v>
      </c>
      <c r="DC19" s="1">
        <v>0</v>
      </c>
      <c r="DG19" s="34" t="s">
        <v>7</v>
      </c>
      <c r="DH19" s="37">
        <v>17</v>
      </c>
      <c r="DI19" s="7">
        <v>180</v>
      </c>
      <c r="DL19" s="34" t="s">
        <v>13</v>
      </c>
      <c r="DM19" s="37">
        <v>17</v>
      </c>
      <c r="DN19" s="7">
        <v>537</v>
      </c>
      <c r="DP19" s="7"/>
      <c r="DR19" s="34" t="s">
        <v>10</v>
      </c>
      <c r="DS19" s="37">
        <v>17</v>
      </c>
      <c r="DX19" s="34" t="s">
        <v>11</v>
      </c>
      <c r="DY19" s="37">
        <v>17</v>
      </c>
      <c r="DZ19" s="7">
        <v>175</v>
      </c>
      <c r="ED19" s="34" t="s">
        <v>8</v>
      </c>
      <c r="EE19" s="37">
        <v>17</v>
      </c>
      <c r="EF19" s="7"/>
      <c r="EK19" s="34" t="s">
        <v>7</v>
      </c>
      <c r="EL19" s="37">
        <v>17</v>
      </c>
      <c r="EM19" s="1"/>
      <c r="EQ19" s="34" t="s">
        <v>8</v>
      </c>
      <c r="ER19" s="37">
        <v>17</v>
      </c>
      <c r="ES19" s="7">
        <v>420</v>
      </c>
      <c r="EW19" s="34" t="s">
        <v>10</v>
      </c>
      <c r="EX19" s="37">
        <v>17</v>
      </c>
      <c r="EY19" s="7"/>
      <c r="FA19" s="7"/>
      <c r="FC19" s="34" t="s">
        <v>11</v>
      </c>
      <c r="FD19" s="37">
        <v>17</v>
      </c>
      <c r="FE19" s="7">
        <v>90</v>
      </c>
      <c r="FI19" s="34" t="s">
        <v>8</v>
      </c>
      <c r="FJ19" s="37">
        <v>17</v>
      </c>
      <c r="FK19" s="7">
        <v>735</v>
      </c>
      <c r="FL19" s="10">
        <v>537</v>
      </c>
      <c r="FO19" s="34" t="s">
        <v>12</v>
      </c>
      <c r="FP19" s="37">
        <v>17</v>
      </c>
      <c r="FQ19" s="7">
        <v>450</v>
      </c>
      <c r="FR19" s="12"/>
      <c r="FU19" s="34" t="s">
        <v>13</v>
      </c>
      <c r="FV19" s="37">
        <v>17</v>
      </c>
      <c r="FX19" s="12">
        <v>175</v>
      </c>
      <c r="GA19" s="34" t="s">
        <v>6</v>
      </c>
      <c r="GB19" s="37">
        <v>17</v>
      </c>
      <c r="GC19" s="7">
        <v>520</v>
      </c>
      <c r="GH19" s="34" t="s">
        <v>7</v>
      </c>
      <c r="GI19" s="37">
        <v>16</v>
      </c>
      <c r="GJ19" s="13"/>
      <c r="GN19" s="34" t="s">
        <v>8</v>
      </c>
      <c r="GO19" s="37">
        <v>16</v>
      </c>
      <c r="GP19" s="15">
        <v>340</v>
      </c>
      <c r="GT19" s="34" t="s">
        <v>10</v>
      </c>
      <c r="GU19" s="37">
        <v>16</v>
      </c>
      <c r="GV19" s="6"/>
      <c r="GW19" s="7"/>
      <c r="GX19" s="7"/>
      <c r="GZ19" s="34" t="s">
        <v>11</v>
      </c>
      <c r="HA19" s="37">
        <v>16</v>
      </c>
      <c r="HB19" s="15">
        <v>350</v>
      </c>
      <c r="HF19" s="34" t="s">
        <v>8</v>
      </c>
      <c r="HG19" s="37">
        <v>16</v>
      </c>
      <c r="HH19" s="15">
        <v>4058</v>
      </c>
      <c r="HI19" s="10"/>
      <c r="HL19" s="34" t="s">
        <v>12</v>
      </c>
      <c r="HM19" s="37">
        <v>16</v>
      </c>
      <c r="HN19" s="15">
        <v>140</v>
      </c>
      <c r="HO19" s="12"/>
      <c r="HR19" s="34" t="s">
        <v>13</v>
      </c>
      <c r="HS19" s="37">
        <v>16</v>
      </c>
      <c r="HT19" s="15"/>
      <c r="HU19" s="12"/>
      <c r="HX19" s="34" t="s">
        <v>6</v>
      </c>
      <c r="HY19" s="37">
        <v>16</v>
      </c>
      <c r="HZ19" s="15"/>
      <c r="IJ19" s="34" t="s">
        <v>8</v>
      </c>
      <c r="IK19" s="37">
        <v>15</v>
      </c>
      <c r="IL19" s="6"/>
      <c r="IP19" s="34" t="s">
        <v>10</v>
      </c>
      <c r="IQ19" s="37">
        <v>15</v>
      </c>
      <c r="IR19" s="6"/>
      <c r="IV19" s="34" t="s">
        <v>11</v>
      </c>
      <c r="IW19" s="37">
        <v>15</v>
      </c>
      <c r="IX19" s="7">
        <v>195</v>
      </c>
      <c r="JA19" s="37"/>
      <c r="JB19" s="34" t="s">
        <v>8</v>
      </c>
      <c r="JC19" s="37">
        <v>15</v>
      </c>
      <c r="JD19" s="7">
        <v>865</v>
      </c>
      <c r="JH19" s="34" t="s">
        <v>12</v>
      </c>
      <c r="JI19" s="37">
        <v>15</v>
      </c>
      <c r="JJ19" s="7">
        <v>2200</v>
      </c>
      <c r="JN19" s="34" t="s">
        <v>13</v>
      </c>
      <c r="JO19" s="37">
        <v>15</v>
      </c>
      <c r="JP19" s="7">
        <v>200</v>
      </c>
      <c r="JT19" s="34" t="s">
        <v>6</v>
      </c>
      <c r="JU19" s="37">
        <v>15</v>
      </c>
      <c r="JV19" s="7">
        <v>500</v>
      </c>
      <c r="KA19" s="34" t="s">
        <v>13</v>
      </c>
      <c r="KB19" s="37">
        <v>15</v>
      </c>
      <c r="KC19" s="7"/>
      <c r="KH19" s="34" t="s">
        <v>10</v>
      </c>
      <c r="KI19" s="37">
        <v>15</v>
      </c>
      <c r="KJ19" s="7"/>
      <c r="KN19" s="34" t="s">
        <v>12</v>
      </c>
      <c r="KO19" s="37">
        <v>14</v>
      </c>
      <c r="KP19" s="7"/>
      <c r="KT19" s="34" t="s">
        <v>13</v>
      </c>
      <c r="KU19" s="37">
        <v>14</v>
      </c>
      <c r="KV19" s="7"/>
      <c r="KZ19" s="34" t="s">
        <v>6</v>
      </c>
      <c r="LA19" s="37">
        <v>14</v>
      </c>
      <c r="LB19" s="7">
        <v>1806</v>
      </c>
      <c r="LF19" s="34" t="s">
        <v>7</v>
      </c>
      <c r="LG19" s="37">
        <v>14</v>
      </c>
      <c r="LH19" s="7">
        <v>935</v>
      </c>
      <c r="LL19" s="34" t="s">
        <v>8</v>
      </c>
      <c r="LM19" s="37">
        <v>14</v>
      </c>
      <c r="LN19" s="7">
        <v>950</v>
      </c>
      <c r="LR19" s="34" t="s">
        <v>10</v>
      </c>
      <c r="LS19" s="37">
        <v>14</v>
      </c>
      <c r="LT19" s="7"/>
      <c r="LX19" s="36"/>
      <c r="LY19" s="34" t="s">
        <v>11</v>
      </c>
      <c r="LZ19" s="37">
        <v>13</v>
      </c>
      <c r="MA19" s="7"/>
      <c r="MF19" s="34" t="s">
        <v>6</v>
      </c>
      <c r="MG19" s="37">
        <v>13</v>
      </c>
      <c r="MH19" s="7">
        <v>414</v>
      </c>
      <c r="ML19" s="34" t="s">
        <v>12</v>
      </c>
      <c r="MM19" s="37">
        <v>13</v>
      </c>
      <c r="MN19" s="7"/>
      <c r="MR19" s="34" t="s">
        <v>13</v>
      </c>
      <c r="MS19" s="37">
        <v>13</v>
      </c>
      <c r="MT19" s="7">
        <v>1357</v>
      </c>
      <c r="MX19" s="34" t="s">
        <v>6</v>
      </c>
      <c r="MY19" s="37">
        <v>13</v>
      </c>
      <c r="MZ19" s="7">
        <v>5794</v>
      </c>
      <c r="ND19" s="34" t="s">
        <v>7</v>
      </c>
      <c r="NE19" s="37">
        <v>13</v>
      </c>
      <c r="NF19" s="7">
        <v>546</v>
      </c>
      <c r="NJ19" s="34" t="s">
        <v>8</v>
      </c>
      <c r="NK19" s="37">
        <v>13</v>
      </c>
      <c r="NL19" s="7">
        <v>523</v>
      </c>
      <c r="NP19" s="34" t="s">
        <v>10</v>
      </c>
      <c r="NQ19" s="37">
        <v>13</v>
      </c>
      <c r="NR19" s="7"/>
      <c r="NV19" s="36"/>
      <c r="NW19" s="34" t="s">
        <v>11</v>
      </c>
      <c r="NX19" s="37">
        <v>12</v>
      </c>
      <c r="NY19" s="7"/>
      <c r="OD19" s="34" t="s">
        <v>6</v>
      </c>
      <c r="OE19" s="37">
        <v>12</v>
      </c>
      <c r="OF19" s="7">
        <v>262</v>
      </c>
      <c r="OJ19" s="34" t="s">
        <v>12</v>
      </c>
      <c r="OK19" s="37">
        <v>12</v>
      </c>
      <c r="OL19" s="7">
        <v>212</v>
      </c>
      <c r="OP19" s="34" t="s">
        <v>13</v>
      </c>
      <c r="OQ19" s="37">
        <v>12</v>
      </c>
      <c r="OV19" s="34" t="s">
        <v>6</v>
      </c>
      <c r="OW19" s="37">
        <v>12</v>
      </c>
      <c r="PB19" s="34" t="s">
        <v>7</v>
      </c>
      <c r="PC19" s="37">
        <v>12</v>
      </c>
      <c r="PH19" s="34" t="s">
        <v>8</v>
      </c>
      <c r="PI19" s="37">
        <v>12</v>
      </c>
      <c r="PN19" s="34" t="s">
        <v>10</v>
      </c>
      <c r="PO19" s="37">
        <v>12</v>
      </c>
    </row>
    <row r="20" spans="1:431" ht="29.25" customHeight="1" x14ac:dyDescent="0.3">
      <c r="A20" s="34">
        <v>18</v>
      </c>
      <c r="C20" s="7">
        <v>100</v>
      </c>
      <c r="H20" s="34">
        <v>18</v>
      </c>
      <c r="J20" s="7"/>
      <c r="N20" s="34" t="s">
        <v>74</v>
      </c>
      <c r="P20" s="7">
        <v>1185</v>
      </c>
      <c r="U20" s="38" t="s">
        <v>75</v>
      </c>
      <c r="W20" s="7">
        <v>275</v>
      </c>
      <c r="AB20" s="34" t="s">
        <v>76</v>
      </c>
      <c r="AD20" s="7"/>
      <c r="AI20" s="34" t="s">
        <v>72</v>
      </c>
      <c r="AK20" s="7"/>
      <c r="AO20" s="34" t="s">
        <v>76</v>
      </c>
      <c r="AQ20" s="7">
        <v>15</v>
      </c>
      <c r="AU20" s="34" t="s">
        <v>77</v>
      </c>
      <c r="AZ20" s="34" t="s">
        <v>7</v>
      </c>
      <c r="BA20" s="37">
        <v>18</v>
      </c>
      <c r="BB20" s="7">
        <v>205</v>
      </c>
      <c r="BF20" s="34" t="s">
        <v>8</v>
      </c>
      <c r="BG20" s="37">
        <v>18</v>
      </c>
      <c r="BH20" s="7">
        <v>725</v>
      </c>
      <c r="BL20" s="34" t="s">
        <v>12</v>
      </c>
      <c r="BM20" s="37">
        <v>18</v>
      </c>
      <c r="BN20" s="7"/>
      <c r="BR20" s="34" t="s">
        <v>8</v>
      </c>
      <c r="BS20" s="37">
        <v>18</v>
      </c>
      <c r="BT20" s="1">
        <v>0</v>
      </c>
      <c r="BX20" s="34" t="s">
        <v>12</v>
      </c>
      <c r="BY20" s="37">
        <v>18</v>
      </c>
      <c r="BZ20" s="7">
        <v>100</v>
      </c>
      <c r="CD20" s="34" t="s">
        <v>11</v>
      </c>
      <c r="CE20" s="37">
        <v>18</v>
      </c>
      <c r="CF20" s="7">
        <v>220</v>
      </c>
      <c r="CH20" s="7"/>
      <c r="CJ20" s="34" t="s">
        <v>6</v>
      </c>
      <c r="CK20" s="37">
        <v>18</v>
      </c>
      <c r="CL20" s="7">
        <v>65</v>
      </c>
      <c r="CN20" s="34" t="s">
        <v>7</v>
      </c>
      <c r="CO20" s="37">
        <v>18</v>
      </c>
      <c r="CP20" s="7">
        <v>42</v>
      </c>
      <c r="CT20" s="34" t="s">
        <v>13</v>
      </c>
      <c r="CU20" s="37">
        <v>18</v>
      </c>
      <c r="CV20" s="7"/>
      <c r="DA20" s="34" t="s">
        <v>10</v>
      </c>
      <c r="DB20" s="37">
        <v>18</v>
      </c>
      <c r="DC20" s="1">
        <v>0</v>
      </c>
      <c r="DG20" s="34" t="s">
        <v>11</v>
      </c>
      <c r="DH20" s="37">
        <v>18</v>
      </c>
      <c r="DI20" s="7"/>
      <c r="DL20" s="34" t="s">
        <v>8</v>
      </c>
      <c r="DM20" s="37">
        <v>18</v>
      </c>
      <c r="DN20" s="7">
        <v>2180</v>
      </c>
      <c r="DP20" s="7"/>
      <c r="DR20" s="34" t="s">
        <v>12</v>
      </c>
      <c r="DS20" s="37">
        <v>18</v>
      </c>
      <c r="DT20" s="7">
        <v>758</v>
      </c>
      <c r="DX20" s="34" t="s">
        <v>13</v>
      </c>
      <c r="DY20" s="37">
        <v>18</v>
      </c>
      <c r="DZ20" s="7">
        <v>454</v>
      </c>
      <c r="ED20" s="34" t="s">
        <v>6</v>
      </c>
      <c r="EE20" s="37">
        <v>18</v>
      </c>
      <c r="EF20" s="7"/>
      <c r="EK20" s="34" t="s">
        <v>11</v>
      </c>
      <c r="EL20" s="37">
        <v>18</v>
      </c>
      <c r="EM20" s="1"/>
      <c r="EQ20" s="34" t="s">
        <v>6</v>
      </c>
      <c r="ER20" s="37">
        <v>18</v>
      </c>
      <c r="ES20" s="7">
        <v>560</v>
      </c>
      <c r="EW20" s="34" t="s">
        <v>12</v>
      </c>
      <c r="EX20" s="37">
        <v>18</v>
      </c>
      <c r="EY20" s="7"/>
      <c r="FA20" s="7"/>
      <c r="FC20" s="34" t="s">
        <v>13</v>
      </c>
      <c r="FD20" s="37">
        <v>18</v>
      </c>
      <c r="FE20" s="7">
        <v>160</v>
      </c>
      <c r="FI20" s="34" t="s">
        <v>6</v>
      </c>
      <c r="FJ20" s="37">
        <v>18</v>
      </c>
      <c r="FK20" s="7">
        <v>2225</v>
      </c>
      <c r="FL20" s="10">
        <v>2180</v>
      </c>
      <c r="FO20" s="34" t="s">
        <v>7</v>
      </c>
      <c r="FP20" s="37">
        <v>18</v>
      </c>
      <c r="FQ20" s="7">
        <v>160</v>
      </c>
      <c r="FR20" s="12">
        <v>758</v>
      </c>
      <c r="FU20" s="34" t="s">
        <v>8</v>
      </c>
      <c r="FV20" s="37">
        <v>18</v>
      </c>
      <c r="FW20" s="7">
        <v>1203</v>
      </c>
      <c r="FX20" s="12">
        <v>454</v>
      </c>
      <c r="GA20" s="34" t="s">
        <v>10</v>
      </c>
      <c r="GB20" s="37">
        <v>18</v>
      </c>
      <c r="GC20" s="7"/>
      <c r="GH20" s="34" t="s">
        <v>11</v>
      </c>
      <c r="GI20" s="37">
        <v>17</v>
      </c>
      <c r="GJ20" s="13"/>
      <c r="GN20" s="34" t="s">
        <v>6</v>
      </c>
      <c r="GO20" s="37">
        <v>17</v>
      </c>
      <c r="GP20" s="15">
        <v>1600</v>
      </c>
      <c r="GT20" s="34" t="s">
        <v>12</v>
      </c>
      <c r="GU20" s="37">
        <v>17</v>
      </c>
      <c r="GV20" s="6"/>
      <c r="GW20" s="7"/>
      <c r="GX20" s="7"/>
      <c r="GZ20" s="34" t="s">
        <v>13</v>
      </c>
      <c r="HA20" s="37">
        <v>17</v>
      </c>
      <c r="HB20" s="15">
        <v>710</v>
      </c>
      <c r="HF20" s="34" t="s">
        <v>6</v>
      </c>
      <c r="HG20" s="37">
        <v>17</v>
      </c>
      <c r="HH20" s="15">
        <v>5117</v>
      </c>
      <c r="HI20" s="10"/>
      <c r="HL20" s="34" t="s">
        <v>7</v>
      </c>
      <c r="HM20" s="37">
        <v>17</v>
      </c>
      <c r="HN20" s="15"/>
      <c r="HO20" s="12"/>
      <c r="HR20" s="34" t="s">
        <v>8</v>
      </c>
      <c r="HS20" s="37">
        <v>17</v>
      </c>
      <c r="HT20" s="15">
        <v>760</v>
      </c>
      <c r="HU20" s="12"/>
      <c r="HX20" s="34" t="s">
        <v>10</v>
      </c>
      <c r="HY20" s="37">
        <v>17</v>
      </c>
      <c r="HZ20" s="15"/>
      <c r="IJ20" s="34" t="s">
        <v>6</v>
      </c>
      <c r="IK20" s="37">
        <v>16</v>
      </c>
      <c r="IL20" s="6">
        <v>340</v>
      </c>
      <c r="IP20" s="34" t="s">
        <v>12</v>
      </c>
      <c r="IQ20" s="37">
        <v>16</v>
      </c>
      <c r="IR20" s="6"/>
      <c r="IV20" s="34" t="s">
        <v>13</v>
      </c>
      <c r="IW20" s="37">
        <v>16</v>
      </c>
      <c r="IX20" s="7">
        <v>410</v>
      </c>
      <c r="JA20" s="37"/>
      <c r="JB20" s="34" t="s">
        <v>6</v>
      </c>
      <c r="JC20" s="37">
        <v>16</v>
      </c>
      <c r="JD20" s="7">
        <v>2850</v>
      </c>
      <c r="JH20" s="34" t="s">
        <v>7</v>
      </c>
      <c r="JI20" s="37">
        <v>16</v>
      </c>
      <c r="JJ20" s="7">
        <v>150</v>
      </c>
      <c r="JN20" s="34" t="s">
        <v>8</v>
      </c>
      <c r="JO20" s="37">
        <v>16</v>
      </c>
      <c r="JP20" s="7">
        <v>2930</v>
      </c>
      <c r="JT20" s="34" t="s">
        <v>10</v>
      </c>
      <c r="JU20" s="37">
        <v>16</v>
      </c>
      <c r="JV20" s="7"/>
      <c r="KA20" s="34" t="s">
        <v>8</v>
      </c>
      <c r="KB20" s="37">
        <v>16</v>
      </c>
      <c r="KC20" s="7"/>
      <c r="KH20" s="34" t="s">
        <v>12</v>
      </c>
      <c r="KI20" s="37">
        <v>16</v>
      </c>
      <c r="KJ20" s="7"/>
      <c r="KN20" s="34" t="s">
        <v>7</v>
      </c>
      <c r="KO20" s="37">
        <v>15</v>
      </c>
      <c r="KP20" s="7"/>
      <c r="KT20" s="34" t="s">
        <v>8</v>
      </c>
      <c r="KU20" s="37">
        <v>15</v>
      </c>
      <c r="KV20" s="7"/>
      <c r="KZ20" s="34" t="s">
        <v>10</v>
      </c>
      <c r="LA20" s="37">
        <v>15</v>
      </c>
      <c r="LB20" s="7">
        <v>133</v>
      </c>
      <c r="LF20" s="34" t="s">
        <v>11</v>
      </c>
      <c r="LG20" s="37">
        <v>15</v>
      </c>
      <c r="LH20" s="7">
        <v>3050</v>
      </c>
      <c r="LL20" s="34" t="s">
        <v>6</v>
      </c>
      <c r="LM20" s="37">
        <v>15</v>
      </c>
      <c r="LN20" s="7">
        <v>2110</v>
      </c>
      <c r="LR20" s="34" t="s">
        <v>12</v>
      </c>
      <c r="LS20" s="37">
        <v>15</v>
      </c>
      <c r="LT20" s="7"/>
      <c r="LX20" s="36"/>
      <c r="LY20" s="34" t="s">
        <v>13</v>
      </c>
      <c r="LZ20" s="37">
        <v>14</v>
      </c>
      <c r="MA20" s="7"/>
      <c r="MF20" s="34" t="s">
        <v>10</v>
      </c>
      <c r="MG20" s="37">
        <v>14</v>
      </c>
      <c r="MH20" s="7">
        <v>180</v>
      </c>
      <c r="ML20" s="34" t="s">
        <v>7</v>
      </c>
      <c r="MM20" s="37">
        <v>14</v>
      </c>
      <c r="MN20" s="7">
        <v>215</v>
      </c>
      <c r="MR20" s="34" t="s">
        <v>8</v>
      </c>
      <c r="MS20" s="37">
        <v>14</v>
      </c>
      <c r="MT20" s="7">
        <v>2200</v>
      </c>
      <c r="MX20" s="34" t="s">
        <v>10</v>
      </c>
      <c r="MY20" s="37">
        <v>14</v>
      </c>
      <c r="MZ20" s="7">
        <v>4190</v>
      </c>
      <c r="ND20" s="34" t="s">
        <v>11</v>
      </c>
      <c r="NE20" s="37">
        <v>14</v>
      </c>
      <c r="NF20" s="7">
        <v>897</v>
      </c>
      <c r="NJ20" s="34" t="s">
        <v>6</v>
      </c>
      <c r="NK20" s="37">
        <v>14</v>
      </c>
      <c r="NL20" s="7">
        <v>90</v>
      </c>
      <c r="NP20" s="34" t="s">
        <v>12</v>
      </c>
      <c r="NQ20" s="37">
        <v>14</v>
      </c>
      <c r="NR20" s="7"/>
      <c r="NV20" s="36"/>
      <c r="NW20" s="34" t="s">
        <v>13</v>
      </c>
      <c r="NX20" s="37">
        <v>13</v>
      </c>
      <c r="NY20" s="7"/>
      <c r="OD20" s="34" t="s">
        <v>10</v>
      </c>
      <c r="OE20" s="37">
        <v>13</v>
      </c>
      <c r="OF20" s="7"/>
      <c r="OJ20" s="34" t="s">
        <v>7</v>
      </c>
      <c r="OK20" s="37">
        <v>13</v>
      </c>
      <c r="OL20" s="7"/>
      <c r="OP20" s="34" t="s">
        <v>8</v>
      </c>
      <c r="OQ20" s="37">
        <v>13</v>
      </c>
      <c r="OV20" s="34" t="s">
        <v>10</v>
      </c>
      <c r="OW20" s="37">
        <v>13</v>
      </c>
      <c r="PB20" s="34" t="s">
        <v>11</v>
      </c>
      <c r="PC20" s="37">
        <v>13</v>
      </c>
      <c r="PH20" s="34" t="s">
        <v>6</v>
      </c>
      <c r="PI20" s="37">
        <v>13</v>
      </c>
      <c r="PN20" s="34" t="s">
        <v>12</v>
      </c>
      <c r="PO20" s="37">
        <v>13</v>
      </c>
    </row>
    <row r="21" spans="1:431" ht="29.25" customHeight="1" x14ac:dyDescent="0.3">
      <c r="A21" s="34">
        <v>18</v>
      </c>
      <c r="C21" s="7">
        <v>70</v>
      </c>
      <c r="H21" s="34">
        <v>18</v>
      </c>
      <c r="J21" s="7"/>
      <c r="N21" s="34">
        <v>19</v>
      </c>
      <c r="P21" s="7">
        <v>20</v>
      </c>
      <c r="U21" s="34" t="s">
        <v>78</v>
      </c>
      <c r="W21" s="7">
        <v>215</v>
      </c>
      <c r="AB21" s="34" t="s">
        <v>79</v>
      </c>
      <c r="AD21" s="7">
        <v>105</v>
      </c>
      <c r="AI21" s="38" t="s">
        <v>75</v>
      </c>
      <c r="AK21" s="7"/>
      <c r="AO21" s="34" t="s">
        <v>79</v>
      </c>
      <c r="AQ21" s="7">
        <v>160</v>
      </c>
      <c r="AU21" s="38" t="s">
        <v>80</v>
      </c>
      <c r="AV21" s="7">
        <v>30</v>
      </c>
      <c r="AZ21" s="34" t="s">
        <v>11</v>
      </c>
      <c r="BA21" s="37">
        <v>19</v>
      </c>
      <c r="BB21" s="7">
        <v>150</v>
      </c>
      <c r="BF21" s="34" t="s">
        <v>6</v>
      </c>
      <c r="BG21" s="37">
        <v>19</v>
      </c>
      <c r="BH21" s="7">
        <v>1345</v>
      </c>
      <c r="BL21" s="34" t="s">
        <v>7</v>
      </c>
      <c r="BM21" s="37">
        <v>19</v>
      </c>
      <c r="BN21" s="7"/>
      <c r="BR21" s="34" t="s">
        <v>6</v>
      </c>
      <c r="BS21" s="37">
        <v>19</v>
      </c>
      <c r="BT21" s="1"/>
      <c r="BX21" s="34" t="s">
        <v>7</v>
      </c>
      <c r="BY21" s="37">
        <v>19</v>
      </c>
      <c r="BZ21" s="7">
        <v>75</v>
      </c>
      <c r="CD21" s="34" t="s">
        <v>13</v>
      </c>
      <c r="CE21" s="37">
        <v>19</v>
      </c>
      <c r="CF21" s="7">
        <v>300</v>
      </c>
      <c r="CH21" s="7"/>
      <c r="CJ21" s="34" t="s">
        <v>10</v>
      </c>
      <c r="CK21" s="37">
        <v>19</v>
      </c>
      <c r="CL21" s="7">
        <v>105</v>
      </c>
      <c r="CN21" s="34" t="s">
        <v>11</v>
      </c>
      <c r="CO21" s="37">
        <v>19</v>
      </c>
      <c r="CP21" s="7"/>
      <c r="CT21" s="34" t="s">
        <v>8</v>
      </c>
      <c r="CU21" s="37">
        <v>19</v>
      </c>
      <c r="CV21" s="7"/>
      <c r="DA21" s="34" t="s">
        <v>12</v>
      </c>
      <c r="DB21" s="37">
        <v>19</v>
      </c>
      <c r="DC21" s="1"/>
      <c r="DG21" s="34" t="s">
        <v>13</v>
      </c>
      <c r="DH21" s="37">
        <v>19</v>
      </c>
      <c r="DI21" s="7">
        <v>120</v>
      </c>
      <c r="DL21" s="34" t="s">
        <v>6</v>
      </c>
      <c r="DM21" s="37">
        <v>19</v>
      </c>
      <c r="DN21" s="7">
        <v>4780</v>
      </c>
      <c r="DP21" s="7"/>
      <c r="DR21" s="34" t="s">
        <v>7</v>
      </c>
      <c r="DS21" s="37">
        <v>19</v>
      </c>
      <c r="DT21" s="7">
        <v>20</v>
      </c>
      <c r="DX21" s="34" t="s">
        <v>8</v>
      </c>
      <c r="DY21" s="37">
        <v>19</v>
      </c>
      <c r="DZ21" s="7">
        <v>1380</v>
      </c>
      <c r="ED21" s="34" t="s">
        <v>10</v>
      </c>
      <c r="EE21" s="37">
        <v>19</v>
      </c>
      <c r="EF21" s="7"/>
      <c r="EK21" s="34" t="s">
        <v>13</v>
      </c>
      <c r="EL21" s="37">
        <v>19</v>
      </c>
      <c r="EM21" s="1"/>
      <c r="EQ21" s="34" t="s">
        <v>10</v>
      </c>
      <c r="ER21" s="37">
        <v>19</v>
      </c>
      <c r="ES21" s="7">
        <v>320</v>
      </c>
      <c r="EW21" s="34" t="s">
        <v>7</v>
      </c>
      <c r="EX21" s="37">
        <v>19</v>
      </c>
      <c r="EY21" s="7"/>
      <c r="FA21" s="7"/>
      <c r="FC21" s="34" t="s">
        <v>8</v>
      </c>
      <c r="FD21" s="37">
        <v>19</v>
      </c>
      <c r="FE21" s="7">
        <v>1065</v>
      </c>
      <c r="FI21" s="34" t="s">
        <v>10</v>
      </c>
      <c r="FJ21" s="37">
        <v>19</v>
      </c>
      <c r="FK21" s="7">
        <v>430</v>
      </c>
      <c r="FL21" s="10">
        <v>4780</v>
      </c>
      <c r="FO21" s="34" t="s">
        <v>11</v>
      </c>
      <c r="FP21" s="37">
        <v>19</v>
      </c>
      <c r="FQ21" s="7"/>
      <c r="FR21" s="12">
        <v>20</v>
      </c>
      <c r="FU21" s="34" t="s">
        <v>6</v>
      </c>
      <c r="FV21" s="37">
        <v>19</v>
      </c>
      <c r="FW21" s="7">
        <v>645</v>
      </c>
      <c r="FX21" s="12">
        <v>1380</v>
      </c>
      <c r="GA21" s="34" t="s">
        <v>12</v>
      </c>
      <c r="GB21" s="37">
        <v>19</v>
      </c>
      <c r="GC21" s="7"/>
      <c r="GH21" s="34" t="s">
        <v>13</v>
      </c>
      <c r="GI21" s="37">
        <v>18</v>
      </c>
      <c r="GJ21" s="13"/>
      <c r="GN21" s="34" t="s">
        <v>10</v>
      </c>
      <c r="GO21" s="37">
        <v>18</v>
      </c>
      <c r="GP21" s="15">
        <v>1500</v>
      </c>
      <c r="GT21" s="34" t="s">
        <v>7</v>
      </c>
      <c r="GU21" s="37">
        <v>18</v>
      </c>
      <c r="GV21" s="6">
        <v>425</v>
      </c>
      <c r="GW21" s="7"/>
      <c r="GX21" s="7"/>
      <c r="GZ21" s="34" t="s">
        <v>8</v>
      </c>
      <c r="HA21" s="37">
        <v>18</v>
      </c>
      <c r="HB21" s="15">
        <v>4967</v>
      </c>
      <c r="HF21" s="34" t="s">
        <v>10</v>
      </c>
      <c r="HG21" s="37">
        <v>18</v>
      </c>
      <c r="HH21" s="15">
        <v>1310</v>
      </c>
      <c r="HI21" s="10"/>
      <c r="HL21" s="34" t="s">
        <v>11</v>
      </c>
      <c r="HM21" s="37">
        <v>18</v>
      </c>
      <c r="HN21" s="15">
        <v>545</v>
      </c>
      <c r="HO21" s="12"/>
      <c r="HR21" s="34" t="s">
        <v>6</v>
      </c>
      <c r="HS21" s="37">
        <v>18</v>
      </c>
      <c r="HT21" s="15">
        <v>1100</v>
      </c>
      <c r="HU21" s="12"/>
      <c r="HX21" s="34" t="s">
        <v>12</v>
      </c>
      <c r="HY21" s="37">
        <v>18</v>
      </c>
      <c r="HZ21" s="15"/>
      <c r="IJ21" s="34" t="s">
        <v>10</v>
      </c>
      <c r="IK21" s="37">
        <v>17</v>
      </c>
      <c r="IL21" s="6"/>
      <c r="IP21" s="34" t="s">
        <v>7</v>
      </c>
      <c r="IQ21" s="37">
        <v>17</v>
      </c>
      <c r="IR21" s="6">
        <v>225</v>
      </c>
      <c r="IV21" s="34" t="s">
        <v>8</v>
      </c>
      <c r="IW21" s="37">
        <v>17</v>
      </c>
      <c r="IX21" s="7">
        <v>1715</v>
      </c>
      <c r="JA21" s="37"/>
      <c r="JB21" s="34" t="s">
        <v>10</v>
      </c>
      <c r="JC21" s="37">
        <v>17</v>
      </c>
      <c r="JD21" s="7">
        <v>270</v>
      </c>
      <c r="JH21" s="34" t="s">
        <v>11</v>
      </c>
      <c r="JI21" s="37">
        <v>17</v>
      </c>
      <c r="JJ21" s="7">
        <v>1000</v>
      </c>
      <c r="JN21" s="34" t="s">
        <v>6</v>
      </c>
      <c r="JO21" s="37">
        <v>17</v>
      </c>
      <c r="JP21" s="7">
        <v>2210</v>
      </c>
      <c r="JT21" s="34" t="s">
        <v>12</v>
      </c>
      <c r="JU21" s="37">
        <v>17</v>
      </c>
      <c r="JV21" s="7"/>
      <c r="KA21" s="34" t="s">
        <v>6</v>
      </c>
      <c r="KB21" s="37">
        <v>17</v>
      </c>
      <c r="KC21" s="7"/>
      <c r="KH21" s="34" t="s">
        <v>7</v>
      </c>
      <c r="KI21" s="37">
        <v>17</v>
      </c>
      <c r="KJ21" s="7"/>
      <c r="KN21" s="34" t="s">
        <v>11</v>
      </c>
      <c r="KO21" s="37">
        <v>16</v>
      </c>
      <c r="KP21" s="7"/>
      <c r="KT21" s="34" t="s">
        <v>6</v>
      </c>
      <c r="KU21" s="37">
        <v>16</v>
      </c>
      <c r="KV21" s="7"/>
      <c r="KZ21" s="34" t="s">
        <v>12</v>
      </c>
      <c r="LA21" s="37">
        <v>16</v>
      </c>
      <c r="LB21" s="7">
        <v>315</v>
      </c>
      <c r="LF21" s="34" t="s">
        <v>13</v>
      </c>
      <c r="LG21" s="37">
        <v>16</v>
      </c>
      <c r="LH21" s="7">
        <v>840</v>
      </c>
      <c r="LL21" s="34" t="s">
        <v>10</v>
      </c>
      <c r="LM21" s="37">
        <v>16</v>
      </c>
      <c r="LN21" s="7"/>
      <c r="LR21" s="34" t="s">
        <v>7</v>
      </c>
      <c r="LS21" s="37">
        <v>16</v>
      </c>
      <c r="LT21" s="7"/>
      <c r="LX21" s="36"/>
      <c r="LY21" s="34" t="s">
        <v>8</v>
      </c>
      <c r="LZ21" s="37">
        <v>15</v>
      </c>
      <c r="MA21" s="7"/>
      <c r="MF21" s="34" t="s">
        <v>12</v>
      </c>
      <c r="MG21" s="37">
        <v>15</v>
      </c>
      <c r="MH21" s="7"/>
      <c r="ML21" s="34" t="s">
        <v>11</v>
      </c>
      <c r="MM21" s="37">
        <v>15</v>
      </c>
      <c r="MN21" s="7"/>
      <c r="MR21" s="34" t="s">
        <v>6</v>
      </c>
      <c r="MS21" s="37">
        <v>15</v>
      </c>
      <c r="MT21" s="7">
        <v>1537</v>
      </c>
      <c r="MX21" s="34" t="s">
        <v>12</v>
      </c>
      <c r="MY21" s="37">
        <v>15</v>
      </c>
      <c r="MZ21" s="7">
        <v>767</v>
      </c>
      <c r="ND21" s="34" t="s">
        <v>13</v>
      </c>
      <c r="NE21" s="37">
        <v>15</v>
      </c>
      <c r="NF21" s="7">
        <v>3704</v>
      </c>
      <c r="NJ21" s="34" t="s">
        <v>10</v>
      </c>
      <c r="NK21" s="37">
        <v>15</v>
      </c>
      <c r="NL21" s="7"/>
      <c r="NP21" s="34" t="s">
        <v>7</v>
      </c>
      <c r="NQ21" s="37">
        <v>15</v>
      </c>
      <c r="NR21" s="7"/>
      <c r="NV21" s="36"/>
      <c r="NW21" s="34" t="s">
        <v>8</v>
      </c>
      <c r="NX21" s="37">
        <v>14</v>
      </c>
      <c r="NY21" s="7"/>
      <c r="OD21" s="34" t="s">
        <v>12</v>
      </c>
      <c r="OE21" s="37">
        <v>14</v>
      </c>
      <c r="OF21" s="7">
        <v>77</v>
      </c>
      <c r="OJ21" s="34" t="s">
        <v>11</v>
      </c>
      <c r="OK21" s="37">
        <v>14</v>
      </c>
      <c r="OL21" s="7"/>
      <c r="OP21" s="34" t="s">
        <v>6</v>
      </c>
      <c r="OQ21" s="37">
        <v>14</v>
      </c>
      <c r="OV21" s="34" t="s">
        <v>12</v>
      </c>
      <c r="OW21" s="37">
        <v>14</v>
      </c>
      <c r="PB21" s="34" t="s">
        <v>13</v>
      </c>
      <c r="PC21" s="37">
        <v>14</v>
      </c>
      <c r="PH21" s="34" t="s">
        <v>10</v>
      </c>
      <c r="PI21" s="37">
        <v>14</v>
      </c>
      <c r="PN21" s="34" t="s">
        <v>7</v>
      </c>
      <c r="PO21" s="37">
        <v>14</v>
      </c>
    </row>
    <row r="22" spans="1:431" x14ac:dyDescent="0.3">
      <c r="A22" s="34">
        <v>20</v>
      </c>
      <c r="C22" s="7">
        <v>105</v>
      </c>
      <c r="H22" s="34" t="s">
        <v>81</v>
      </c>
      <c r="J22" s="7"/>
      <c r="N22" s="34">
        <v>20</v>
      </c>
      <c r="P22" s="7">
        <v>190</v>
      </c>
      <c r="U22" s="34" t="s">
        <v>82</v>
      </c>
      <c r="W22" s="7">
        <v>90</v>
      </c>
      <c r="X22" s="40"/>
      <c r="AB22" s="34" t="s">
        <v>83</v>
      </c>
      <c r="AD22" s="7">
        <v>305</v>
      </c>
      <c r="AI22" s="34" t="s">
        <v>78</v>
      </c>
      <c r="AK22" s="7"/>
      <c r="AO22" s="34" t="s">
        <v>83</v>
      </c>
      <c r="AQ22" s="7">
        <v>565</v>
      </c>
      <c r="AU22" s="34" t="s">
        <v>84</v>
      </c>
      <c r="AV22" s="7">
        <v>135</v>
      </c>
      <c r="AZ22" s="34" t="s">
        <v>13</v>
      </c>
      <c r="BA22" s="37">
        <v>20</v>
      </c>
      <c r="BB22" s="7">
        <v>95</v>
      </c>
      <c r="BF22" s="34" t="s">
        <v>10</v>
      </c>
      <c r="BG22" s="37">
        <v>20</v>
      </c>
      <c r="BH22" s="7"/>
      <c r="BL22" s="34" t="s">
        <v>11</v>
      </c>
      <c r="BM22" s="37">
        <v>20</v>
      </c>
      <c r="BN22" s="7"/>
      <c r="BR22" s="34" t="s">
        <v>10</v>
      </c>
      <c r="BS22" s="37">
        <v>20</v>
      </c>
      <c r="BT22" s="1"/>
      <c r="BX22" s="34" t="s">
        <v>11</v>
      </c>
      <c r="BY22" s="37">
        <v>20</v>
      </c>
      <c r="BZ22" s="7"/>
      <c r="CD22" s="34" t="s">
        <v>8</v>
      </c>
      <c r="CE22" s="37">
        <v>20</v>
      </c>
      <c r="CF22" s="7">
        <v>490</v>
      </c>
      <c r="CH22" s="7"/>
      <c r="CJ22" s="34" t="s">
        <v>12</v>
      </c>
      <c r="CK22" s="37">
        <v>20</v>
      </c>
      <c r="CL22" s="7">
        <v>114</v>
      </c>
      <c r="CN22" s="34" t="s">
        <v>13</v>
      </c>
      <c r="CO22" s="37">
        <v>20</v>
      </c>
      <c r="CP22" s="7"/>
      <c r="CT22" s="34" t="s">
        <v>6</v>
      </c>
      <c r="CU22" s="37">
        <v>20</v>
      </c>
      <c r="CV22" s="7"/>
      <c r="DA22" s="34" t="s">
        <v>7</v>
      </c>
      <c r="DB22" s="37">
        <v>20</v>
      </c>
      <c r="DC22" s="1"/>
      <c r="DG22" s="34" t="s">
        <v>8</v>
      </c>
      <c r="DH22" s="37">
        <v>20</v>
      </c>
      <c r="DI22" s="7">
        <v>1891</v>
      </c>
      <c r="DL22" s="34" t="s">
        <v>10</v>
      </c>
      <c r="DM22" s="37">
        <v>20</v>
      </c>
      <c r="DN22" s="7">
        <v>440</v>
      </c>
      <c r="DO22" s="39"/>
      <c r="DP22" s="7"/>
      <c r="DR22" s="34" t="s">
        <v>11</v>
      </c>
      <c r="DS22" s="37">
        <v>20</v>
      </c>
      <c r="DT22" s="7">
        <v>1960</v>
      </c>
      <c r="DX22" s="34" t="s">
        <v>6</v>
      </c>
      <c r="DY22" s="37">
        <v>20</v>
      </c>
      <c r="DZ22" s="7">
        <v>2880</v>
      </c>
      <c r="ED22" s="34" t="s">
        <v>12</v>
      </c>
      <c r="EE22" s="37">
        <v>20</v>
      </c>
      <c r="EF22" s="7"/>
      <c r="EK22" s="34" t="s">
        <v>8</v>
      </c>
      <c r="EL22" s="37">
        <v>20</v>
      </c>
      <c r="EM22" s="1"/>
      <c r="EQ22" s="34" t="s">
        <v>12</v>
      </c>
      <c r="ER22" s="37">
        <v>20</v>
      </c>
      <c r="ES22" s="7">
        <v>290</v>
      </c>
      <c r="EW22" s="34" t="s">
        <v>11</v>
      </c>
      <c r="EX22" s="37">
        <v>20</v>
      </c>
      <c r="EY22" s="7"/>
      <c r="EZ22" s="39"/>
      <c r="FA22" s="7"/>
      <c r="FC22" s="34" t="s">
        <v>6</v>
      </c>
      <c r="FD22" s="37">
        <v>20</v>
      </c>
      <c r="FE22" s="7">
        <v>1210</v>
      </c>
      <c r="FI22" s="34" t="s">
        <v>12</v>
      </c>
      <c r="FJ22" s="37">
        <v>20</v>
      </c>
      <c r="FK22" s="7">
        <v>474</v>
      </c>
      <c r="FL22" s="10">
        <v>440</v>
      </c>
      <c r="FO22" s="34" t="s">
        <v>13</v>
      </c>
      <c r="FP22" s="37">
        <v>20</v>
      </c>
      <c r="FQ22" s="7">
        <v>560</v>
      </c>
      <c r="FR22" s="12">
        <v>1960</v>
      </c>
      <c r="FU22" s="34" t="s">
        <v>10</v>
      </c>
      <c r="FV22" s="37">
        <v>20</v>
      </c>
      <c r="FW22" s="7">
        <v>85</v>
      </c>
      <c r="FX22" s="12">
        <v>2880</v>
      </c>
      <c r="GA22" s="34" t="s">
        <v>7</v>
      </c>
      <c r="GB22" s="37">
        <v>20</v>
      </c>
      <c r="GC22" s="7"/>
      <c r="GH22" s="34" t="s">
        <v>8</v>
      </c>
      <c r="GI22" s="37">
        <v>19</v>
      </c>
      <c r="GJ22" s="13">
        <v>150</v>
      </c>
      <c r="GN22" s="34" t="s">
        <v>12</v>
      </c>
      <c r="GO22" s="37">
        <v>19</v>
      </c>
      <c r="GP22" s="15"/>
      <c r="GT22" s="34" t="s">
        <v>11</v>
      </c>
      <c r="GU22" s="37">
        <v>19</v>
      </c>
      <c r="GV22" s="6">
        <v>395</v>
      </c>
      <c r="GW22" s="7"/>
      <c r="GX22" s="7"/>
      <c r="GZ22" s="34" t="s">
        <v>6</v>
      </c>
      <c r="HA22" s="37">
        <v>19</v>
      </c>
      <c r="HB22" s="15">
        <v>2528</v>
      </c>
      <c r="HF22" s="34" t="s">
        <v>12</v>
      </c>
      <c r="HG22" s="37">
        <v>19</v>
      </c>
      <c r="HH22" s="15">
        <v>1257</v>
      </c>
      <c r="HI22" s="10"/>
      <c r="HL22" s="34" t="s">
        <v>13</v>
      </c>
      <c r="HM22" s="37">
        <v>19</v>
      </c>
      <c r="HN22" s="15"/>
      <c r="HO22" s="12"/>
      <c r="HR22" s="34" t="s">
        <v>10</v>
      </c>
      <c r="HS22" s="37">
        <v>19</v>
      </c>
      <c r="HT22" s="15">
        <v>850</v>
      </c>
      <c r="HU22" s="12"/>
      <c r="HX22" s="34" t="s">
        <v>7</v>
      </c>
      <c r="HY22" s="37">
        <v>19</v>
      </c>
      <c r="HZ22" s="15"/>
      <c r="IJ22" s="34" t="s">
        <v>12</v>
      </c>
      <c r="IK22" s="37">
        <v>18</v>
      </c>
      <c r="IL22" s="6"/>
      <c r="IP22" s="34" t="s">
        <v>11</v>
      </c>
      <c r="IQ22" s="37">
        <v>18</v>
      </c>
      <c r="IR22" s="6">
        <v>820</v>
      </c>
      <c r="IV22" s="34" t="s">
        <v>6</v>
      </c>
      <c r="IW22" s="37">
        <v>18</v>
      </c>
      <c r="IX22" s="7">
        <v>3100</v>
      </c>
      <c r="JA22" s="37"/>
      <c r="JB22" s="34" t="s">
        <v>12</v>
      </c>
      <c r="JC22" s="37">
        <v>18</v>
      </c>
      <c r="JD22" s="7">
        <v>720</v>
      </c>
      <c r="JH22" s="34" t="s">
        <v>13</v>
      </c>
      <c r="JI22" s="37">
        <v>18</v>
      </c>
      <c r="JJ22" s="7">
        <v>470</v>
      </c>
      <c r="JN22" s="34" t="s">
        <v>10</v>
      </c>
      <c r="JO22" s="37">
        <v>18</v>
      </c>
      <c r="JP22" s="7"/>
      <c r="JT22" s="34" t="s">
        <v>7</v>
      </c>
      <c r="JU22" s="37">
        <v>18</v>
      </c>
      <c r="JV22" s="7"/>
      <c r="KA22" s="34" t="s">
        <v>10</v>
      </c>
      <c r="KB22" s="37">
        <v>18</v>
      </c>
      <c r="KC22" s="7"/>
      <c r="KH22" s="34" t="s">
        <v>11</v>
      </c>
      <c r="KI22" s="37">
        <v>18</v>
      </c>
      <c r="KJ22" s="7"/>
      <c r="KN22" s="34" t="s">
        <v>13</v>
      </c>
      <c r="KO22" s="37">
        <v>17</v>
      </c>
      <c r="KP22" s="7"/>
      <c r="KT22" s="34" t="s">
        <v>10</v>
      </c>
      <c r="KU22" s="37">
        <v>17</v>
      </c>
      <c r="KV22" s="7"/>
      <c r="KZ22" s="34" t="s">
        <v>7</v>
      </c>
      <c r="LA22" s="37">
        <v>17</v>
      </c>
      <c r="LB22" s="7">
        <v>520</v>
      </c>
      <c r="LF22" s="34" t="s">
        <v>8</v>
      </c>
      <c r="LG22" s="37">
        <v>17</v>
      </c>
      <c r="LH22" s="7"/>
      <c r="LL22" s="34" t="s">
        <v>12</v>
      </c>
      <c r="LM22" s="37">
        <v>17</v>
      </c>
      <c r="LN22" s="7"/>
      <c r="LR22" s="34" t="s">
        <v>11</v>
      </c>
      <c r="LS22" s="37">
        <v>17</v>
      </c>
      <c r="LT22" s="7"/>
      <c r="LX22" s="36"/>
      <c r="LY22" s="34" t="s">
        <v>6</v>
      </c>
      <c r="LZ22" s="37">
        <v>16</v>
      </c>
      <c r="MA22" s="7"/>
      <c r="MF22" s="34" t="s">
        <v>7</v>
      </c>
      <c r="MG22" s="37">
        <v>16</v>
      </c>
      <c r="MH22" s="7"/>
      <c r="ML22" s="34" t="s">
        <v>13</v>
      </c>
      <c r="MM22" s="37">
        <v>16</v>
      </c>
      <c r="MN22" s="7"/>
      <c r="MR22" s="34" t="s">
        <v>10</v>
      </c>
      <c r="MS22" s="37">
        <v>16</v>
      </c>
      <c r="MT22" s="7">
        <v>356</v>
      </c>
      <c r="MX22" s="34" t="s">
        <v>7</v>
      </c>
      <c r="MY22" s="37">
        <v>16</v>
      </c>
      <c r="MZ22" s="7">
        <v>165</v>
      </c>
      <c r="ND22" s="34" t="s">
        <v>8</v>
      </c>
      <c r="NE22" s="37">
        <v>16</v>
      </c>
      <c r="NF22" s="7">
        <v>2461</v>
      </c>
      <c r="NJ22" s="34" t="s">
        <v>12</v>
      </c>
      <c r="NK22" s="37">
        <v>16</v>
      </c>
      <c r="NL22" s="7"/>
      <c r="NP22" s="34" t="s">
        <v>11</v>
      </c>
      <c r="NQ22" s="37">
        <v>16</v>
      </c>
      <c r="NR22" s="7"/>
      <c r="NV22" s="36"/>
      <c r="NW22" s="34" t="s">
        <v>6</v>
      </c>
      <c r="NX22" s="37">
        <v>15</v>
      </c>
      <c r="NY22" s="7">
        <v>507</v>
      </c>
      <c r="OD22" s="34" t="s">
        <v>7</v>
      </c>
      <c r="OE22" s="37">
        <v>15</v>
      </c>
      <c r="OF22" s="7">
        <v>156</v>
      </c>
      <c r="OJ22" s="34" t="s">
        <v>13</v>
      </c>
      <c r="OK22" s="37">
        <v>15</v>
      </c>
      <c r="OL22" s="7"/>
      <c r="OP22" s="34" t="s">
        <v>10</v>
      </c>
      <c r="OQ22" s="37">
        <v>15</v>
      </c>
      <c r="OV22" s="34" t="s">
        <v>7</v>
      </c>
      <c r="OW22" s="37">
        <v>15</v>
      </c>
      <c r="PB22" s="34" t="s">
        <v>8</v>
      </c>
      <c r="PC22" s="37">
        <v>15</v>
      </c>
      <c r="PH22" s="34" t="s">
        <v>12</v>
      </c>
      <c r="PI22" s="37">
        <v>15</v>
      </c>
      <c r="PN22" s="34" t="s">
        <v>11</v>
      </c>
      <c r="PO22" s="37">
        <v>15</v>
      </c>
    </row>
    <row r="23" spans="1:431" x14ac:dyDescent="0.3">
      <c r="A23" s="34">
        <v>21</v>
      </c>
      <c r="C23" s="7">
        <v>90</v>
      </c>
      <c r="H23" s="34" t="s">
        <v>85</v>
      </c>
      <c r="J23" s="7"/>
      <c r="N23" s="34">
        <v>21</v>
      </c>
      <c r="P23" s="7">
        <v>230</v>
      </c>
      <c r="U23" s="34" t="s">
        <v>86</v>
      </c>
      <c r="W23" s="7">
        <v>205</v>
      </c>
      <c r="X23" s="40"/>
      <c r="AB23" s="34" t="s">
        <v>87</v>
      </c>
      <c r="AD23" s="7">
        <v>135</v>
      </c>
      <c r="AI23" s="34" t="s">
        <v>82</v>
      </c>
      <c r="AK23" s="7"/>
      <c r="AO23" s="34" t="s">
        <v>87</v>
      </c>
      <c r="AQ23" s="7">
        <v>305</v>
      </c>
      <c r="AU23" s="34" t="s">
        <v>88</v>
      </c>
      <c r="AV23" s="7">
        <v>365</v>
      </c>
      <c r="AZ23" s="34" t="s">
        <v>8</v>
      </c>
      <c r="BA23" s="37">
        <v>21</v>
      </c>
      <c r="BB23" s="7">
        <v>390</v>
      </c>
      <c r="BF23" s="34" t="s">
        <v>12</v>
      </c>
      <c r="BG23" s="37">
        <v>21</v>
      </c>
      <c r="BH23" s="7">
        <v>235</v>
      </c>
      <c r="BL23" s="34" t="s">
        <v>13</v>
      </c>
      <c r="BM23" s="37">
        <v>21</v>
      </c>
      <c r="BN23" s="7"/>
      <c r="BR23" s="34" t="s">
        <v>12</v>
      </c>
      <c r="BS23" s="37">
        <v>21</v>
      </c>
      <c r="BT23" s="1">
        <v>0</v>
      </c>
      <c r="BX23" s="34" t="s">
        <v>13</v>
      </c>
      <c r="BY23" s="37">
        <v>21</v>
      </c>
      <c r="BZ23" s="7">
        <v>190</v>
      </c>
      <c r="CD23" s="34" t="s">
        <v>6</v>
      </c>
      <c r="CE23" s="37">
        <v>21</v>
      </c>
      <c r="CF23" s="7">
        <v>2478</v>
      </c>
      <c r="CH23" s="7"/>
      <c r="CJ23" s="34" t="s">
        <v>7</v>
      </c>
      <c r="CK23" s="37">
        <v>21</v>
      </c>
      <c r="CL23" s="7">
        <v>285</v>
      </c>
      <c r="CN23" s="34" t="s">
        <v>8</v>
      </c>
      <c r="CO23" s="37">
        <v>21</v>
      </c>
      <c r="CP23" s="7">
        <v>1975</v>
      </c>
      <c r="CT23" s="34" t="s">
        <v>10</v>
      </c>
      <c r="CU23" s="37">
        <v>21</v>
      </c>
      <c r="CV23" s="7"/>
      <c r="DA23" s="34" t="s">
        <v>11</v>
      </c>
      <c r="DB23" s="37">
        <v>21</v>
      </c>
      <c r="DC23" s="1">
        <v>0</v>
      </c>
      <c r="DG23" s="34" t="s">
        <v>6</v>
      </c>
      <c r="DH23" s="37">
        <v>21</v>
      </c>
      <c r="DI23" s="7">
        <v>1630</v>
      </c>
      <c r="DL23" s="34" t="s">
        <v>12</v>
      </c>
      <c r="DM23" s="37">
        <v>21</v>
      </c>
      <c r="DN23" s="7">
        <v>1280</v>
      </c>
      <c r="DP23" s="7"/>
      <c r="DR23" s="34" t="s">
        <v>13</v>
      </c>
      <c r="DS23" s="37">
        <v>21</v>
      </c>
      <c r="DT23" s="7">
        <v>571</v>
      </c>
      <c r="DX23" s="34" t="s">
        <v>10</v>
      </c>
      <c r="DY23" s="37">
        <v>21</v>
      </c>
      <c r="DZ23" s="7">
        <v>293</v>
      </c>
      <c r="ED23" s="34" t="s">
        <v>7</v>
      </c>
      <c r="EE23" s="37">
        <v>21</v>
      </c>
      <c r="EF23" s="7"/>
      <c r="EK23" s="34" t="s">
        <v>6</v>
      </c>
      <c r="EL23" s="37">
        <v>21</v>
      </c>
      <c r="EM23" s="1"/>
      <c r="EQ23" s="34" t="s">
        <v>7</v>
      </c>
      <c r="ER23" s="37">
        <v>21</v>
      </c>
      <c r="ES23" s="7">
        <v>330</v>
      </c>
      <c r="EW23" s="34" t="s">
        <v>13</v>
      </c>
      <c r="EX23" s="37">
        <v>21</v>
      </c>
      <c r="EY23" s="7"/>
      <c r="FA23" s="7"/>
      <c r="FC23" s="34" t="s">
        <v>10</v>
      </c>
      <c r="FD23" s="37">
        <v>21</v>
      </c>
      <c r="FE23" s="7"/>
      <c r="FI23" s="34" t="s">
        <v>7</v>
      </c>
      <c r="FJ23" s="37">
        <v>21</v>
      </c>
      <c r="FK23" s="7">
        <v>310</v>
      </c>
      <c r="FL23" s="10">
        <v>1280</v>
      </c>
      <c r="FO23" s="34" t="s">
        <v>8</v>
      </c>
      <c r="FP23" s="37">
        <v>21</v>
      </c>
      <c r="FQ23" s="7">
        <v>1726</v>
      </c>
      <c r="FR23" s="12">
        <v>571</v>
      </c>
      <c r="FU23" s="34" t="s">
        <v>12</v>
      </c>
      <c r="FV23" s="37">
        <v>21</v>
      </c>
      <c r="FW23" s="7">
        <v>70</v>
      </c>
      <c r="FX23" s="12">
        <v>293</v>
      </c>
      <c r="GA23" s="34" t="s">
        <v>11</v>
      </c>
      <c r="GB23" s="37">
        <v>21</v>
      </c>
      <c r="GC23" s="7"/>
      <c r="GH23" s="34" t="s">
        <v>6</v>
      </c>
      <c r="GI23" s="37">
        <v>20</v>
      </c>
      <c r="GJ23" s="13">
        <v>270</v>
      </c>
      <c r="GN23" s="34" t="s">
        <v>7</v>
      </c>
      <c r="GO23" s="37">
        <v>20</v>
      </c>
      <c r="GP23" s="15"/>
      <c r="GT23" s="34" t="s">
        <v>13</v>
      </c>
      <c r="GU23" s="37">
        <v>20</v>
      </c>
      <c r="GV23" s="6">
        <v>70</v>
      </c>
      <c r="GW23" s="7"/>
      <c r="GX23" s="7"/>
      <c r="GZ23" s="34" t="s">
        <v>10</v>
      </c>
      <c r="HA23" s="37">
        <v>20</v>
      </c>
      <c r="HB23" s="15">
        <v>1500</v>
      </c>
      <c r="HF23" s="34" t="s">
        <v>7</v>
      </c>
      <c r="HG23" s="37">
        <v>20</v>
      </c>
      <c r="HH23" s="15">
        <v>763</v>
      </c>
      <c r="HI23" s="10"/>
      <c r="HL23" s="34" t="s">
        <v>8</v>
      </c>
      <c r="HM23" s="37">
        <v>20</v>
      </c>
      <c r="HN23" s="15">
        <v>2059</v>
      </c>
      <c r="HO23" s="12"/>
      <c r="HR23" s="34" t="s">
        <v>12</v>
      </c>
      <c r="HS23" s="37">
        <v>20</v>
      </c>
      <c r="HT23" s="15"/>
      <c r="HU23" s="12"/>
      <c r="HX23" s="34" t="s">
        <v>11</v>
      </c>
      <c r="HY23" s="37">
        <v>20</v>
      </c>
      <c r="HZ23" s="15"/>
      <c r="IJ23" s="34" t="s">
        <v>7</v>
      </c>
      <c r="IK23" s="37">
        <v>19</v>
      </c>
      <c r="IL23" s="6"/>
      <c r="IP23" s="34" t="s">
        <v>13</v>
      </c>
      <c r="IQ23" s="37">
        <v>19</v>
      </c>
      <c r="IR23" s="6">
        <v>410</v>
      </c>
      <c r="IV23" s="34" t="s">
        <v>10</v>
      </c>
      <c r="IW23" s="37">
        <v>19</v>
      </c>
      <c r="IX23" s="7"/>
      <c r="JA23" s="37"/>
      <c r="JB23" s="34" t="s">
        <v>7</v>
      </c>
      <c r="JC23" s="37">
        <v>19</v>
      </c>
      <c r="JD23" s="7">
        <v>670</v>
      </c>
      <c r="JH23" s="34" t="s">
        <v>8</v>
      </c>
      <c r="JI23" s="37">
        <v>19</v>
      </c>
      <c r="JJ23" s="7">
        <v>1400</v>
      </c>
      <c r="JN23" s="34" t="s">
        <v>12</v>
      </c>
      <c r="JO23" s="37">
        <v>19</v>
      </c>
      <c r="JP23" s="7">
        <v>500</v>
      </c>
      <c r="JT23" s="34" t="s">
        <v>11</v>
      </c>
      <c r="JU23" s="37">
        <v>19</v>
      </c>
      <c r="JV23" s="7">
        <v>1210</v>
      </c>
      <c r="KA23" s="34" t="s">
        <v>12</v>
      </c>
      <c r="KB23" s="37">
        <v>19</v>
      </c>
      <c r="KC23" s="7"/>
      <c r="KH23" s="34" t="s">
        <v>13</v>
      </c>
      <c r="KI23" s="37">
        <v>19</v>
      </c>
      <c r="KJ23" s="7"/>
      <c r="KN23" s="34" t="s">
        <v>8</v>
      </c>
      <c r="KO23" s="37">
        <v>18</v>
      </c>
      <c r="KP23" s="7">
        <v>230</v>
      </c>
      <c r="KT23" s="34" t="s">
        <v>12</v>
      </c>
      <c r="KU23" s="37">
        <v>18</v>
      </c>
      <c r="KV23" s="7"/>
      <c r="KZ23" s="34" t="s">
        <v>11</v>
      </c>
      <c r="LA23" s="37">
        <v>18</v>
      </c>
      <c r="LB23" s="7">
        <v>1000</v>
      </c>
      <c r="LF23" s="34" t="s">
        <v>6</v>
      </c>
      <c r="LG23" s="37">
        <v>18</v>
      </c>
      <c r="LH23" s="7">
        <v>770</v>
      </c>
      <c r="LL23" s="34" t="s">
        <v>7</v>
      </c>
      <c r="LM23" s="37">
        <v>18</v>
      </c>
      <c r="LN23" s="7"/>
      <c r="LR23" s="34" t="s">
        <v>13</v>
      </c>
      <c r="LS23" s="37">
        <v>18</v>
      </c>
      <c r="LT23" s="7"/>
      <c r="LX23" s="36"/>
      <c r="LY23" s="34" t="s">
        <v>10</v>
      </c>
      <c r="LZ23" s="37">
        <v>17</v>
      </c>
      <c r="MA23" s="7"/>
      <c r="MF23" s="34" t="s">
        <v>11</v>
      </c>
      <c r="MG23" s="37">
        <v>17</v>
      </c>
      <c r="MH23" s="7"/>
      <c r="ML23" s="34" t="s">
        <v>8</v>
      </c>
      <c r="MM23" s="37">
        <v>17</v>
      </c>
      <c r="MN23" s="7">
        <v>440</v>
      </c>
      <c r="MR23" s="34" t="s">
        <v>12</v>
      </c>
      <c r="MS23" s="37">
        <v>17</v>
      </c>
      <c r="MT23" s="7">
        <v>511</v>
      </c>
      <c r="MX23" s="34" t="s">
        <v>11</v>
      </c>
      <c r="MY23" s="37">
        <v>17</v>
      </c>
      <c r="MZ23" s="7">
        <v>374</v>
      </c>
      <c r="ND23" s="34" t="s">
        <v>6</v>
      </c>
      <c r="NE23" s="37">
        <v>17</v>
      </c>
      <c r="NF23" s="7">
        <v>4328</v>
      </c>
      <c r="NJ23" s="34" t="s">
        <v>7</v>
      </c>
      <c r="NK23" s="37">
        <v>17</v>
      </c>
      <c r="NL23" s="7">
        <v>126</v>
      </c>
      <c r="NP23" s="34" t="s">
        <v>13</v>
      </c>
      <c r="NQ23" s="37">
        <v>17</v>
      </c>
      <c r="NR23" s="7"/>
      <c r="NV23" s="36"/>
      <c r="NW23" s="34" t="s">
        <v>10</v>
      </c>
      <c r="NX23" s="37">
        <v>16</v>
      </c>
      <c r="NY23" s="7"/>
      <c r="OD23" s="34" t="s">
        <v>11</v>
      </c>
      <c r="OE23" s="37">
        <v>16</v>
      </c>
      <c r="OF23" s="7"/>
      <c r="OJ23" s="34" t="s">
        <v>8</v>
      </c>
      <c r="OK23" s="37">
        <v>16</v>
      </c>
      <c r="OL23" s="7">
        <v>365</v>
      </c>
      <c r="OP23" s="34" t="s">
        <v>12</v>
      </c>
      <c r="OQ23" s="37">
        <v>16</v>
      </c>
      <c r="OV23" s="34" t="s">
        <v>11</v>
      </c>
      <c r="OW23" s="37">
        <v>16</v>
      </c>
      <c r="PB23" s="34" t="s">
        <v>6</v>
      </c>
      <c r="PC23" s="37">
        <v>16</v>
      </c>
      <c r="PH23" s="34" t="s">
        <v>7</v>
      </c>
      <c r="PI23" s="37">
        <v>16</v>
      </c>
      <c r="PN23" s="34" t="s">
        <v>13</v>
      </c>
      <c r="PO23" s="37">
        <v>16</v>
      </c>
    </row>
    <row r="24" spans="1:431" x14ac:dyDescent="0.3">
      <c r="A24" s="34">
        <v>22</v>
      </c>
      <c r="C24" s="7">
        <v>20</v>
      </c>
      <c r="H24" s="34">
        <v>22</v>
      </c>
      <c r="J24" s="7"/>
      <c r="N24" s="34">
        <v>22</v>
      </c>
      <c r="P24" s="7">
        <v>20</v>
      </c>
      <c r="U24" s="34" t="s">
        <v>89</v>
      </c>
      <c r="W24" s="7"/>
      <c r="AB24" s="38" t="s">
        <v>90</v>
      </c>
      <c r="AD24" s="7">
        <v>135</v>
      </c>
      <c r="AI24" s="34" t="s">
        <v>86</v>
      </c>
      <c r="AK24" s="7"/>
      <c r="AO24" s="38" t="s">
        <v>90</v>
      </c>
      <c r="AQ24" s="7"/>
      <c r="AU24" s="34" t="s">
        <v>91</v>
      </c>
      <c r="AV24" s="7">
        <v>0</v>
      </c>
      <c r="AZ24" s="34" t="s">
        <v>6</v>
      </c>
      <c r="BA24" s="37">
        <v>22</v>
      </c>
      <c r="BB24" s="7">
        <v>1115</v>
      </c>
      <c r="BF24" s="34" t="s">
        <v>7</v>
      </c>
      <c r="BG24" s="37">
        <v>22</v>
      </c>
      <c r="BH24" s="7">
        <v>440</v>
      </c>
      <c r="BL24" s="34" t="s">
        <v>8</v>
      </c>
      <c r="BM24" s="37">
        <v>22</v>
      </c>
      <c r="BN24" s="7"/>
      <c r="BR24" s="34" t="s">
        <v>7</v>
      </c>
      <c r="BS24" s="37">
        <v>22</v>
      </c>
      <c r="BT24" s="1">
        <v>0</v>
      </c>
      <c r="BX24" s="34" t="s">
        <v>8</v>
      </c>
      <c r="BY24" s="37">
        <v>22</v>
      </c>
      <c r="BZ24" s="7">
        <v>615</v>
      </c>
      <c r="CD24" s="34" t="s">
        <v>10</v>
      </c>
      <c r="CE24" s="37">
        <v>22</v>
      </c>
      <c r="CF24" s="7">
        <v>220</v>
      </c>
      <c r="CH24" s="7"/>
      <c r="CJ24" s="34" t="s">
        <v>11</v>
      </c>
      <c r="CK24" s="37">
        <v>22</v>
      </c>
      <c r="CL24" s="7">
        <v>835</v>
      </c>
      <c r="CN24" s="34" t="s">
        <v>6</v>
      </c>
      <c r="CO24" s="37">
        <v>22</v>
      </c>
      <c r="CP24" s="7"/>
      <c r="CT24" s="34" t="s">
        <v>12</v>
      </c>
      <c r="CU24" s="37">
        <v>22</v>
      </c>
      <c r="CV24" s="7"/>
      <c r="DA24" s="34" t="s">
        <v>13</v>
      </c>
      <c r="DB24" s="37">
        <v>22</v>
      </c>
      <c r="DC24" s="1">
        <v>0</v>
      </c>
      <c r="DG24" s="34" t="s">
        <v>10</v>
      </c>
      <c r="DH24" s="37">
        <v>22</v>
      </c>
      <c r="DI24" s="7">
        <v>200</v>
      </c>
      <c r="DL24" s="34" t="s">
        <v>7</v>
      </c>
      <c r="DM24" s="37">
        <v>22</v>
      </c>
      <c r="DN24" s="7">
        <v>966</v>
      </c>
      <c r="DP24" s="7"/>
      <c r="DR24" s="34" t="s">
        <v>8</v>
      </c>
      <c r="DS24" s="37">
        <v>22</v>
      </c>
      <c r="DT24" s="7">
        <v>1342</v>
      </c>
      <c r="DX24" s="34" t="s">
        <v>12</v>
      </c>
      <c r="DY24" s="37">
        <v>22</v>
      </c>
      <c r="DZ24" s="7">
        <v>310</v>
      </c>
      <c r="ED24" s="34" t="s">
        <v>11</v>
      </c>
      <c r="EE24" s="37">
        <v>22</v>
      </c>
      <c r="EF24" s="7"/>
      <c r="EK24" s="34" t="s">
        <v>10</v>
      </c>
      <c r="EL24" s="37">
        <v>22</v>
      </c>
      <c r="EM24" s="1"/>
      <c r="EQ24" s="34" t="s">
        <v>11</v>
      </c>
      <c r="ER24" s="37">
        <v>22</v>
      </c>
      <c r="ES24" s="7">
        <v>520</v>
      </c>
      <c r="EW24" s="34" t="s">
        <v>8</v>
      </c>
      <c r="EX24" s="37">
        <v>22</v>
      </c>
      <c r="EY24" s="7">
        <v>300</v>
      </c>
      <c r="FA24" s="7"/>
      <c r="FC24" s="34" t="s">
        <v>12</v>
      </c>
      <c r="FD24" s="37">
        <v>22</v>
      </c>
      <c r="FE24" s="7"/>
      <c r="FI24" s="34" t="s">
        <v>11</v>
      </c>
      <c r="FJ24" s="37">
        <v>22</v>
      </c>
      <c r="FK24" s="7">
        <v>700</v>
      </c>
      <c r="FL24" s="10">
        <v>966</v>
      </c>
      <c r="FO24" s="34" t="s">
        <v>6</v>
      </c>
      <c r="FP24" s="37">
        <v>22</v>
      </c>
      <c r="FQ24" s="7">
        <v>650</v>
      </c>
      <c r="FR24" s="12">
        <v>1342</v>
      </c>
      <c r="FU24" s="34" t="s">
        <v>7</v>
      </c>
      <c r="FV24" s="37">
        <v>22</v>
      </c>
      <c r="FW24" s="7">
        <v>100</v>
      </c>
      <c r="FX24" s="12">
        <v>310</v>
      </c>
      <c r="GA24" s="34" t="s">
        <v>13</v>
      </c>
      <c r="GB24" s="37">
        <v>22</v>
      </c>
      <c r="GC24" s="7"/>
      <c r="GH24" s="34" t="s">
        <v>10</v>
      </c>
      <c r="GI24" s="37">
        <v>21</v>
      </c>
      <c r="GJ24" s="13"/>
      <c r="GN24" s="34" t="s">
        <v>11</v>
      </c>
      <c r="GO24" s="37">
        <v>21</v>
      </c>
      <c r="GP24" s="15"/>
      <c r="GT24" s="34" t="s">
        <v>8</v>
      </c>
      <c r="GU24" s="37">
        <v>21</v>
      </c>
      <c r="GV24" s="6">
        <v>1080</v>
      </c>
      <c r="GW24" s="7"/>
      <c r="GX24" s="7"/>
      <c r="GZ24" s="34" t="s">
        <v>12</v>
      </c>
      <c r="HA24" s="37">
        <v>21</v>
      </c>
      <c r="HB24" s="15"/>
      <c r="HF24" s="34" t="s">
        <v>11</v>
      </c>
      <c r="HG24" s="37">
        <v>21</v>
      </c>
      <c r="HH24" s="15">
        <v>100</v>
      </c>
      <c r="HI24" s="10"/>
      <c r="HL24" s="34" t="s">
        <v>6</v>
      </c>
      <c r="HM24" s="37">
        <v>21</v>
      </c>
      <c r="HN24" s="15">
        <v>3031</v>
      </c>
      <c r="HO24" s="12"/>
      <c r="HR24" s="34" t="s">
        <v>7</v>
      </c>
      <c r="HS24" s="37">
        <v>21</v>
      </c>
      <c r="HT24" s="15">
        <v>890</v>
      </c>
      <c r="HU24" s="12"/>
      <c r="HX24" s="34" t="s">
        <v>13</v>
      </c>
      <c r="HY24" s="37">
        <v>21</v>
      </c>
      <c r="HZ24" s="15"/>
      <c r="IJ24" s="34" t="s">
        <v>11</v>
      </c>
      <c r="IK24" s="37">
        <v>20</v>
      </c>
      <c r="IL24" s="6"/>
      <c r="IP24" s="34" t="s">
        <v>8</v>
      </c>
      <c r="IQ24" s="37">
        <v>20</v>
      </c>
      <c r="IR24" s="6">
        <v>1140</v>
      </c>
      <c r="IT24" s="23"/>
      <c r="IV24" s="34" t="s">
        <v>12</v>
      </c>
      <c r="IW24" s="37">
        <v>20</v>
      </c>
      <c r="IX24" s="7"/>
      <c r="JA24" s="37"/>
      <c r="JB24" s="34" t="s">
        <v>11</v>
      </c>
      <c r="JC24" s="37">
        <v>20</v>
      </c>
      <c r="JD24" s="7">
        <v>900</v>
      </c>
      <c r="JH24" s="34" t="s">
        <v>6</v>
      </c>
      <c r="JI24" s="37">
        <v>20</v>
      </c>
      <c r="JJ24" s="7">
        <v>5100</v>
      </c>
      <c r="JN24" s="34" t="s">
        <v>7</v>
      </c>
      <c r="JO24" s="37">
        <v>20</v>
      </c>
      <c r="JT24" s="34" t="s">
        <v>13</v>
      </c>
      <c r="JU24" s="37">
        <v>20</v>
      </c>
      <c r="JV24" s="7"/>
      <c r="KA24" s="34" t="s">
        <v>7</v>
      </c>
      <c r="KB24" s="37">
        <v>20</v>
      </c>
      <c r="KC24" s="7"/>
      <c r="KH24" s="34" t="s">
        <v>8</v>
      </c>
      <c r="KI24" s="37">
        <v>20</v>
      </c>
      <c r="KJ24" s="7"/>
      <c r="KN24" s="34" t="s">
        <v>6</v>
      </c>
      <c r="KO24" s="37">
        <v>19</v>
      </c>
      <c r="KP24" s="7"/>
      <c r="KT24" s="34" t="s">
        <v>7</v>
      </c>
      <c r="KU24" s="37">
        <v>19</v>
      </c>
      <c r="KV24" s="7"/>
      <c r="KZ24" s="34" t="s">
        <v>13</v>
      </c>
      <c r="LA24" s="37">
        <v>19</v>
      </c>
      <c r="LB24" s="7">
        <v>705</v>
      </c>
      <c r="LF24" s="34" t="s">
        <v>10</v>
      </c>
      <c r="LG24" s="37">
        <v>19</v>
      </c>
      <c r="LH24" s="7">
        <v>420</v>
      </c>
      <c r="LL24" s="34" t="s">
        <v>11</v>
      </c>
      <c r="LM24" s="37">
        <v>19</v>
      </c>
      <c r="LN24" s="7"/>
      <c r="LR24" s="34" t="s">
        <v>8</v>
      </c>
      <c r="LS24" s="37">
        <v>19</v>
      </c>
      <c r="LT24" s="7"/>
      <c r="LX24" s="36"/>
      <c r="LY24" s="34" t="s">
        <v>12</v>
      </c>
      <c r="LZ24" s="37">
        <v>18</v>
      </c>
      <c r="MA24" s="7"/>
      <c r="MF24" s="34" t="s">
        <v>13</v>
      </c>
      <c r="MG24" s="37">
        <v>18</v>
      </c>
      <c r="MH24" s="7"/>
      <c r="ML24" s="34" t="s">
        <v>6</v>
      </c>
      <c r="MM24" s="37">
        <v>18</v>
      </c>
      <c r="MN24" s="7">
        <v>1530</v>
      </c>
      <c r="MR24" s="34" t="s">
        <v>7</v>
      </c>
      <c r="MS24" s="37">
        <v>18</v>
      </c>
      <c r="MT24" s="7">
        <v>432</v>
      </c>
      <c r="MX24" s="34" t="s">
        <v>13</v>
      </c>
      <c r="MY24" s="37">
        <v>18</v>
      </c>
      <c r="MZ24" s="7">
        <v>1830</v>
      </c>
      <c r="ND24" s="34" t="s">
        <v>10</v>
      </c>
      <c r="NE24" s="37">
        <v>18</v>
      </c>
      <c r="NF24" s="7">
        <v>1256</v>
      </c>
      <c r="NJ24" s="34" t="s">
        <v>11</v>
      </c>
      <c r="NK24" s="37">
        <v>18</v>
      </c>
      <c r="NL24" s="7">
        <v>549</v>
      </c>
      <c r="NP24" s="34" t="s">
        <v>8</v>
      </c>
      <c r="NQ24" s="37">
        <v>18</v>
      </c>
      <c r="NR24" s="7"/>
      <c r="NV24" s="36"/>
      <c r="NW24" s="34" t="s">
        <v>12</v>
      </c>
      <c r="NX24" s="37">
        <v>17</v>
      </c>
      <c r="NY24" s="7"/>
      <c r="OD24" s="34" t="s">
        <v>13</v>
      </c>
      <c r="OE24" s="37">
        <v>17</v>
      </c>
      <c r="OF24" s="7">
        <v>29</v>
      </c>
      <c r="OJ24" s="34" t="s">
        <v>6</v>
      </c>
      <c r="OK24" s="37">
        <v>17</v>
      </c>
      <c r="OL24" s="7"/>
      <c r="OP24" s="34" t="s">
        <v>7</v>
      </c>
      <c r="OQ24" s="37">
        <v>17</v>
      </c>
      <c r="OV24" s="34" t="s">
        <v>13</v>
      </c>
      <c r="OW24" s="37">
        <v>17</v>
      </c>
      <c r="PB24" s="34" t="s">
        <v>10</v>
      </c>
      <c r="PC24" s="37">
        <v>17</v>
      </c>
      <c r="PH24" s="34" t="s">
        <v>11</v>
      </c>
      <c r="PI24" s="37">
        <v>17</v>
      </c>
      <c r="PN24" s="34" t="s">
        <v>8</v>
      </c>
      <c r="PO24" s="37">
        <v>17</v>
      </c>
    </row>
    <row r="25" spans="1:431" x14ac:dyDescent="0.3">
      <c r="A25" s="34" t="s">
        <v>92</v>
      </c>
      <c r="C25" s="7">
        <v>220</v>
      </c>
      <c r="H25" s="34">
        <v>23</v>
      </c>
      <c r="J25" s="7"/>
      <c r="N25" s="34">
        <v>23</v>
      </c>
      <c r="P25" s="7">
        <v>110</v>
      </c>
      <c r="U25" s="34" t="s">
        <v>93</v>
      </c>
      <c r="W25" s="7">
        <v>95</v>
      </c>
      <c r="AB25" s="34" t="s">
        <v>94</v>
      </c>
      <c r="AD25" s="7">
        <v>230</v>
      </c>
      <c r="AI25" s="34" t="s">
        <v>89</v>
      </c>
      <c r="AK25" s="7"/>
      <c r="AO25" s="34" t="s">
        <v>94</v>
      </c>
      <c r="AQ25" s="7">
        <v>0</v>
      </c>
      <c r="AU25" s="34" t="s">
        <v>92</v>
      </c>
      <c r="AV25" s="7">
        <v>435</v>
      </c>
      <c r="AZ25" s="34" t="s">
        <v>10</v>
      </c>
      <c r="BA25" s="37">
        <v>23</v>
      </c>
      <c r="BB25" s="7">
        <v>180</v>
      </c>
      <c r="BF25" s="34" t="s">
        <v>11</v>
      </c>
      <c r="BG25" s="37">
        <v>23</v>
      </c>
      <c r="BH25" s="7">
        <v>535</v>
      </c>
      <c r="BL25" s="34" t="s">
        <v>6</v>
      </c>
      <c r="BM25" s="37">
        <v>23</v>
      </c>
      <c r="BN25" s="7"/>
      <c r="BR25" s="34" t="s">
        <v>11</v>
      </c>
      <c r="BS25" s="37">
        <v>23</v>
      </c>
      <c r="BT25" s="1">
        <v>0</v>
      </c>
      <c r="BX25" s="34" t="s">
        <v>6</v>
      </c>
      <c r="BY25" s="37">
        <v>23</v>
      </c>
      <c r="BZ25" s="7">
        <v>1800</v>
      </c>
      <c r="CD25" s="34" t="s">
        <v>12</v>
      </c>
      <c r="CE25" s="37">
        <v>23</v>
      </c>
      <c r="CF25" s="7">
        <v>770</v>
      </c>
      <c r="CH25" s="7"/>
      <c r="CJ25" s="34" t="s">
        <v>13</v>
      </c>
      <c r="CK25" s="37">
        <v>23</v>
      </c>
      <c r="CL25" s="7">
        <v>705</v>
      </c>
      <c r="CN25" s="34" t="s">
        <v>10</v>
      </c>
      <c r="CO25" s="37">
        <v>23</v>
      </c>
      <c r="CP25" s="7">
        <v>0</v>
      </c>
      <c r="CT25" s="34" t="s">
        <v>7</v>
      </c>
      <c r="CU25" s="37">
        <v>23</v>
      </c>
      <c r="CV25" s="7"/>
      <c r="DA25" s="34" t="s">
        <v>8</v>
      </c>
      <c r="DB25" s="37">
        <v>23</v>
      </c>
      <c r="DC25" s="1">
        <v>0</v>
      </c>
      <c r="DG25" s="34" t="s">
        <v>12</v>
      </c>
      <c r="DH25" s="37">
        <v>23</v>
      </c>
      <c r="DI25" s="7">
        <v>745</v>
      </c>
      <c r="DL25" s="34" t="s">
        <v>11</v>
      </c>
      <c r="DM25" s="37">
        <v>23</v>
      </c>
      <c r="DN25" s="7">
        <v>950</v>
      </c>
      <c r="DP25" s="7"/>
      <c r="DR25" s="34" t="s">
        <v>6</v>
      </c>
      <c r="DS25" s="37">
        <v>23</v>
      </c>
      <c r="DT25" s="7">
        <v>1620</v>
      </c>
      <c r="DX25" s="34" t="s">
        <v>7</v>
      </c>
      <c r="DY25" s="37">
        <v>23</v>
      </c>
      <c r="DZ25" s="7"/>
      <c r="ED25" s="34" t="s">
        <v>13</v>
      </c>
      <c r="EE25" s="37">
        <v>23</v>
      </c>
      <c r="EF25" s="7"/>
      <c r="EK25" s="34" t="s">
        <v>12</v>
      </c>
      <c r="EL25" s="37">
        <v>23</v>
      </c>
      <c r="EM25" s="1"/>
      <c r="EQ25" s="34" t="s">
        <v>13</v>
      </c>
      <c r="ER25" s="37">
        <v>23</v>
      </c>
      <c r="ES25" s="7">
        <v>825</v>
      </c>
      <c r="EW25" s="34" t="s">
        <v>6</v>
      </c>
      <c r="EX25" s="37">
        <v>23</v>
      </c>
      <c r="EY25" s="7">
        <v>700</v>
      </c>
      <c r="FA25" s="7"/>
      <c r="FC25" s="34" t="s">
        <v>7</v>
      </c>
      <c r="FD25" s="37">
        <v>23</v>
      </c>
      <c r="FE25" s="7"/>
      <c r="FI25" s="34" t="s">
        <v>13</v>
      </c>
      <c r="FJ25" s="37">
        <v>23</v>
      </c>
      <c r="FK25" s="7">
        <v>880</v>
      </c>
      <c r="FL25" s="10">
        <v>950</v>
      </c>
      <c r="FO25" s="34" t="s">
        <v>10</v>
      </c>
      <c r="FP25" s="37">
        <v>23</v>
      </c>
      <c r="FQ25" s="7"/>
      <c r="FR25" s="12">
        <v>1620</v>
      </c>
      <c r="FU25" s="34" t="s">
        <v>11</v>
      </c>
      <c r="FV25" s="37">
        <v>23</v>
      </c>
      <c r="FW25" s="7"/>
      <c r="FX25" s="7"/>
      <c r="GA25" s="34" t="s">
        <v>8</v>
      </c>
      <c r="GB25" s="37">
        <v>23</v>
      </c>
      <c r="GC25" s="7"/>
      <c r="GH25" s="34" t="s">
        <v>12</v>
      </c>
      <c r="GI25" s="37">
        <v>22</v>
      </c>
      <c r="GJ25" s="13"/>
      <c r="GN25" s="34" t="s">
        <v>13</v>
      </c>
      <c r="GO25" s="37">
        <v>22</v>
      </c>
      <c r="GP25" s="15"/>
      <c r="GT25" s="34" t="s">
        <v>6</v>
      </c>
      <c r="GU25" s="37">
        <v>22</v>
      </c>
      <c r="GV25" s="6">
        <v>750</v>
      </c>
      <c r="GW25" s="7"/>
      <c r="GX25" s="7"/>
      <c r="GZ25" s="34" t="s">
        <v>7</v>
      </c>
      <c r="HA25" s="37">
        <v>22</v>
      </c>
      <c r="HB25" s="15">
        <v>365</v>
      </c>
      <c r="HF25" s="34" t="s">
        <v>13</v>
      </c>
      <c r="HG25" s="37">
        <v>22</v>
      </c>
      <c r="HI25" s="10"/>
      <c r="HL25" s="34" t="s">
        <v>10</v>
      </c>
      <c r="HM25" s="37">
        <v>22</v>
      </c>
      <c r="HN25" s="15">
        <v>387</v>
      </c>
      <c r="HO25" s="12"/>
      <c r="HR25" s="34" t="s">
        <v>11</v>
      </c>
      <c r="HS25" s="37">
        <v>22</v>
      </c>
      <c r="HT25" s="15">
        <v>550</v>
      </c>
      <c r="HU25" s="12"/>
      <c r="HX25" s="34" t="s">
        <v>8</v>
      </c>
      <c r="HY25" s="37">
        <v>22</v>
      </c>
      <c r="HZ25" s="15"/>
      <c r="IJ25" s="34" t="s">
        <v>13</v>
      </c>
      <c r="IK25" s="37">
        <v>21</v>
      </c>
      <c r="IL25" s="6"/>
      <c r="IP25" s="34" t="s">
        <v>6</v>
      </c>
      <c r="IQ25" s="37">
        <v>21</v>
      </c>
      <c r="IR25" s="6">
        <v>1390</v>
      </c>
      <c r="IV25" s="34" t="s">
        <v>7</v>
      </c>
      <c r="IW25" s="37">
        <v>21</v>
      </c>
      <c r="IX25" s="7">
        <v>400</v>
      </c>
      <c r="JA25" s="37"/>
      <c r="JB25" s="34" t="s">
        <v>13</v>
      </c>
      <c r="JC25" s="37">
        <v>21</v>
      </c>
      <c r="JD25" s="7">
        <v>555</v>
      </c>
      <c r="JH25" s="34" t="s">
        <v>10</v>
      </c>
      <c r="JI25" s="37">
        <v>21</v>
      </c>
      <c r="JJ25" s="7">
        <v>600</v>
      </c>
      <c r="JN25" s="34" t="s">
        <v>11</v>
      </c>
      <c r="JO25" s="37">
        <v>21</v>
      </c>
      <c r="JP25" s="7"/>
      <c r="JT25" s="34" t="s">
        <v>8</v>
      </c>
      <c r="JU25" s="37">
        <v>21</v>
      </c>
      <c r="JV25" s="7"/>
      <c r="KA25" s="34" t="s">
        <v>11</v>
      </c>
      <c r="KB25" s="37">
        <v>21</v>
      </c>
      <c r="KC25" s="7"/>
      <c r="KH25" s="34" t="s">
        <v>6</v>
      </c>
      <c r="KI25" s="37">
        <v>21</v>
      </c>
      <c r="KJ25" s="7">
        <v>65</v>
      </c>
      <c r="KN25" s="34" t="s">
        <v>10</v>
      </c>
      <c r="KO25" s="37">
        <v>20</v>
      </c>
      <c r="KP25" s="7"/>
      <c r="KT25" s="34" t="s">
        <v>11</v>
      </c>
      <c r="KU25" s="37">
        <v>20</v>
      </c>
      <c r="KV25" s="7"/>
      <c r="KZ25" s="34" t="s">
        <v>8</v>
      </c>
      <c r="LA25" s="37">
        <v>20</v>
      </c>
      <c r="LB25" s="7">
        <v>4370</v>
      </c>
      <c r="LF25" s="34" t="s">
        <v>12</v>
      </c>
      <c r="LG25" s="37">
        <v>20</v>
      </c>
      <c r="LH25" s="7">
        <v>650</v>
      </c>
      <c r="LL25" s="34" t="s">
        <v>13</v>
      </c>
      <c r="LM25" s="37">
        <v>20</v>
      </c>
      <c r="LN25" s="7"/>
      <c r="LR25" s="34" t="s">
        <v>6</v>
      </c>
      <c r="LS25" s="37">
        <v>20</v>
      </c>
      <c r="LT25" s="7"/>
      <c r="LX25" s="36"/>
      <c r="LY25" s="34" t="s">
        <v>7</v>
      </c>
      <c r="LZ25" s="37">
        <v>19</v>
      </c>
      <c r="MA25" s="7"/>
      <c r="MF25" s="34" t="s">
        <v>8</v>
      </c>
      <c r="MG25" s="37">
        <v>19</v>
      </c>
      <c r="MH25" s="7">
        <v>258</v>
      </c>
      <c r="ML25" s="34" t="s">
        <v>10</v>
      </c>
      <c r="MM25" s="37">
        <v>19</v>
      </c>
      <c r="MN25" s="7"/>
      <c r="MR25" s="34" t="s">
        <v>11</v>
      </c>
      <c r="MS25" s="37">
        <v>19</v>
      </c>
      <c r="MT25" s="7">
        <v>478</v>
      </c>
      <c r="MX25" s="34" t="s">
        <v>8</v>
      </c>
      <c r="MY25" s="37">
        <v>19</v>
      </c>
      <c r="MZ25" s="7"/>
      <c r="ND25" s="34" t="s">
        <v>12</v>
      </c>
      <c r="NE25" s="37">
        <v>19</v>
      </c>
      <c r="NF25" s="7">
        <v>709</v>
      </c>
      <c r="NJ25" s="34" t="s">
        <v>13</v>
      </c>
      <c r="NK25" s="37">
        <v>19</v>
      </c>
      <c r="NL25" s="7">
        <v>358</v>
      </c>
      <c r="NP25" s="34" t="s">
        <v>6</v>
      </c>
      <c r="NQ25" s="37">
        <v>19</v>
      </c>
      <c r="NR25" s="7"/>
      <c r="NV25" s="36"/>
      <c r="NW25" s="34" t="s">
        <v>7</v>
      </c>
      <c r="NX25" s="37">
        <v>18</v>
      </c>
      <c r="NY25" s="7">
        <v>117</v>
      </c>
      <c r="OD25" s="34" t="s">
        <v>8</v>
      </c>
      <c r="OE25" s="37">
        <v>18</v>
      </c>
      <c r="OF25" s="7">
        <v>556</v>
      </c>
      <c r="OJ25" s="34" t="s">
        <v>10</v>
      </c>
      <c r="OK25" s="37">
        <v>18</v>
      </c>
      <c r="OL25" s="7"/>
      <c r="OP25" s="34" t="s">
        <v>11</v>
      </c>
      <c r="OQ25" s="37">
        <v>18</v>
      </c>
      <c r="OV25" s="34" t="s">
        <v>8</v>
      </c>
      <c r="OW25" s="37">
        <v>18</v>
      </c>
      <c r="PB25" s="34" t="s">
        <v>12</v>
      </c>
      <c r="PC25" s="37">
        <v>18</v>
      </c>
      <c r="PH25" s="34" t="s">
        <v>13</v>
      </c>
      <c r="PI25" s="37">
        <v>18</v>
      </c>
      <c r="PN25" s="34" t="s">
        <v>6</v>
      </c>
      <c r="PO25" s="37">
        <v>18</v>
      </c>
    </row>
    <row r="26" spans="1:431" x14ac:dyDescent="0.3">
      <c r="A26" s="34" t="s">
        <v>95</v>
      </c>
      <c r="C26" s="7">
        <v>305</v>
      </c>
      <c r="H26" s="34">
        <v>24</v>
      </c>
      <c r="J26" s="7"/>
      <c r="N26" s="34" t="s">
        <v>96</v>
      </c>
      <c r="P26" s="7">
        <v>190</v>
      </c>
      <c r="U26" s="34" t="s">
        <v>97</v>
      </c>
      <c r="W26" s="7"/>
      <c r="AB26" s="34" t="s">
        <v>98</v>
      </c>
      <c r="AD26" s="7">
        <v>90</v>
      </c>
      <c r="AI26" s="34" t="s">
        <v>93</v>
      </c>
      <c r="AK26" s="7"/>
      <c r="AO26" s="34" t="s">
        <v>98</v>
      </c>
      <c r="AQ26" s="7">
        <v>600</v>
      </c>
      <c r="AU26" s="34" t="s">
        <v>95</v>
      </c>
      <c r="AV26" s="7">
        <v>540</v>
      </c>
      <c r="AZ26" s="34" t="s">
        <v>12</v>
      </c>
      <c r="BA26" s="37">
        <v>24</v>
      </c>
      <c r="BB26" s="7">
        <v>190</v>
      </c>
      <c r="BF26" s="34" t="s">
        <v>13</v>
      </c>
      <c r="BG26" s="37">
        <v>24</v>
      </c>
      <c r="BH26" s="7">
        <v>200</v>
      </c>
      <c r="BL26" s="34" t="s">
        <v>10</v>
      </c>
      <c r="BM26" s="37">
        <v>24</v>
      </c>
      <c r="BN26" s="7"/>
      <c r="BR26" s="34" t="s">
        <v>13</v>
      </c>
      <c r="BS26" s="37">
        <v>24</v>
      </c>
      <c r="BT26" s="1"/>
      <c r="BX26" s="34" t="s">
        <v>10</v>
      </c>
      <c r="BY26" s="37">
        <v>24</v>
      </c>
      <c r="BZ26" s="7">
        <v>340</v>
      </c>
      <c r="CD26" s="34" t="s">
        <v>7</v>
      </c>
      <c r="CE26" s="37">
        <v>24</v>
      </c>
      <c r="CF26" s="7">
        <v>470</v>
      </c>
      <c r="CH26" s="7"/>
      <c r="CJ26" s="34" t="s">
        <v>8</v>
      </c>
      <c r="CK26" s="37">
        <v>24</v>
      </c>
      <c r="CL26" s="7">
        <v>1440</v>
      </c>
      <c r="CN26" s="34" t="s">
        <v>12</v>
      </c>
      <c r="CO26" s="37">
        <v>24</v>
      </c>
      <c r="CP26" s="7"/>
      <c r="CT26" s="34" t="s">
        <v>11</v>
      </c>
      <c r="CU26" s="37">
        <v>24</v>
      </c>
      <c r="CV26" s="7"/>
      <c r="DA26" s="34" t="s">
        <v>6</v>
      </c>
      <c r="DB26" s="37">
        <v>24</v>
      </c>
      <c r="DC26" s="1"/>
      <c r="DG26" s="34" t="s">
        <v>7</v>
      </c>
      <c r="DH26" s="37">
        <v>24</v>
      </c>
      <c r="DI26" s="7">
        <v>1708</v>
      </c>
      <c r="DL26" s="34" t="s">
        <v>13</v>
      </c>
      <c r="DM26" s="37">
        <v>24</v>
      </c>
      <c r="DN26" s="7">
        <v>574</v>
      </c>
      <c r="DP26" s="7"/>
      <c r="DR26" s="34" t="s">
        <v>10</v>
      </c>
      <c r="DS26" s="37">
        <v>24</v>
      </c>
      <c r="DT26" s="7">
        <v>354</v>
      </c>
      <c r="DX26" s="34" t="s">
        <v>11</v>
      </c>
      <c r="DY26" s="37">
        <v>24</v>
      </c>
      <c r="DZ26" s="7"/>
      <c r="ED26" s="34" t="s">
        <v>8</v>
      </c>
      <c r="EE26" s="37">
        <v>24</v>
      </c>
      <c r="EF26" s="7"/>
      <c r="EK26" s="34" t="s">
        <v>7</v>
      </c>
      <c r="EL26" s="37">
        <v>24</v>
      </c>
      <c r="EM26" s="1"/>
      <c r="EQ26" s="34" t="s">
        <v>8</v>
      </c>
      <c r="ER26" s="37">
        <v>24</v>
      </c>
      <c r="ES26" s="7">
        <v>1610</v>
      </c>
      <c r="EW26" s="34" t="s">
        <v>10</v>
      </c>
      <c r="EX26" s="37">
        <v>24</v>
      </c>
      <c r="EY26" s="7"/>
      <c r="FA26" s="7"/>
      <c r="FC26" s="34" t="s">
        <v>11</v>
      </c>
      <c r="FD26" s="37">
        <v>24</v>
      </c>
      <c r="FE26" s="7"/>
      <c r="FI26" s="34" t="s">
        <v>8</v>
      </c>
      <c r="FJ26" s="37">
        <v>24</v>
      </c>
      <c r="FK26" s="7">
        <v>1450</v>
      </c>
      <c r="FL26" s="10">
        <v>574</v>
      </c>
      <c r="FO26" s="34" t="s">
        <v>12</v>
      </c>
      <c r="FP26" s="37">
        <v>24</v>
      </c>
      <c r="FQ26" s="7"/>
      <c r="FR26" s="12">
        <v>354</v>
      </c>
      <c r="FU26" s="34" t="s">
        <v>13</v>
      </c>
      <c r="FV26" s="37">
        <v>24</v>
      </c>
      <c r="FW26" s="7"/>
      <c r="FX26" s="7"/>
      <c r="GA26" s="34" t="s">
        <v>6</v>
      </c>
      <c r="GB26" s="37">
        <v>24</v>
      </c>
      <c r="GC26" s="7">
        <v>400</v>
      </c>
      <c r="GH26" s="34" t="s">
        <v>7</v>
      </c>
      <c r="GI26" s="37">
        <v>23</v>
      </c>
      <c r="GJ26" s="13"/>
      <c r="GN26" s="34" t="s">
        <v>8</v>
      </c>
      <c r="GO26" s="37">
        <v>23</v>
      </c>
      <c r="GP26" s="15"/>
      <c r="GT26" s="34" t="s">
        <v>10</v>
      </c>
      <c r="GU26" s="37">
        <v>23</v>
      </c>
      <c r="GV26" s="6">
        <v>265</v>
      </c>
      <c r="GW26" s="7"/>
      <c r="GX26" s="7"/>
      <c r="GZ26" s="34" t="s">
        <v>11</v>
      </c>
      <c r="HA26" s="37">
        <v>23</v>
      </c>
      <c r="HB26" s="15"/>
      <c r="HF26" s="34" t="s">
        <v>8</v>
      </c>
      <c r="HG26" s="37">
        <v>23</v>
      </c>
      <c r="HH26" s="15">
        <v>1660</v>
      </c>
      <c r="HI26" s="10"/>
      <c r="HL26" s="34" t="s">
        <v>12</v>
      </c>
      <c r="HM26" s="37">
        <v>23</v>
      </c>
      <c r="HN26" s="15">
        <v>604</v>
      </c>
      <c r="HO26" s="12"/>
      <c r="HR26" s="34" t="s">
        <v>13</v>
      </c>
      <c r="HS26" s="37">
        <v>23</v>
      </c>
      <c r="HT26" s="15">
        <v>630</v>
      </c>
      <c r="HU26" s="7"/>
      <c r="HX26" s="34" t="s">
        <v>6</v>
      </c>
      <c r="HY26" s="37">
        <v>23</v>
      </c>
      <c r="HZ26" s="15"/>
      <c r="IJ26" s="34" t="s">
        <v>8</v>
      </c>
      <c r="IK26" s="37">
        <v>22</v>
      </c>
      <c r="IL26" s="6"/>
      <c r="IP26" s="34" t="s">
        <v>10</v>
      </c>
      <c r="IQ26" s="37">
        <v>22</v>
      </c>
      <c r="IR26" s="6"/>
      <c r="IV26" s="34" t="s">
        <v>11</v>
      </c>
      <c r="IW26" s="37">
        <v>22</v>
      </c>
      <c r="IX26" s="7"/>
      <c r="JA26" s="37"/>
      <c r="JB26" s="34" t="s">
        <v>8</v>
      </c>
      <c r="JC26" s="37">
        <v>22</v>
      </c>
      <c r="JD26" s="7">
        <v>2220</v>
      </c>
      <c r="JH26" s="34" t="s">
        <v>12</v>
      </c>
      <c r="JI26" s="37">
        <v>22</v>
      </c>
      <c r="JJ26" s="7">
        <v>650</v>
      </c>
      <c r="JN26" s="34" t="s">
        <v>13</v>
      </c>
      <c r="JO26" s="37">
        <v>22</v>
      </c>
      <c r="JP26" s="7"/>
      <c r="JT26" s="34" t="s">
        <v>6</v>
      </c>
      <c r="JU26" s="37">
        <v>22</v>
      </c>
      <c r="JV26" s="7"/>
      <c r="KA26" s="34" t="s">
        <v>13</v>
      </c>
      <c r="KB26" s="37">
        <v>22</v>
      </c>
      <c r="KC26" s="7"/>
      <c r="KH26" s="34" t="s">
        <v>10</v>
      </c>
      <c r="KI26" s="37">
        <v>22</v>
      </c>
      <c r="KJ26" s="7"/>
      <c r="KN26" s="34" t="s">
        <v>12</v>
      </c>
      <c r="KO26" s="37">
        <v>21</v>
      </c>
      <c r="KP26" s="7"/>
      <c r="KT26" s="34" t="s">
        <v>13</v>
      </c>
      <c r="KU26" s="37">
        <v>21</v>
      </c>
      <c r="KV26" s="7"/>
      <c r="KZ26" s="34" t="s">
        <v>6</v>
      </c>
      <c r="LA26" s="37">
        <v>21</v>
      </c>
      <c r="LB26" s="7">
        <v>2222</v>
      </c>
      <c r="LF26" s="34" t="s">
        <v>7</v>
      </c>
      <c r="LG26" s="37">
        <v>21</v>
      </c>
      <c r="LH26" s="7">
        <v>235</v>
      </c>
      <c r="LL26" s="34" t="s">
        <v>8</v>
      </c>
      <c r="LM26" s="37">
        <v>21</v>
      </c>
      <c r="LN26" s="7">
        <v>1280</v>
      </c>
      <c r="LR26" s="34" t="s">
        <v>10</v>
      </c>
      <c r="LS26" s="37">
        <v>21</v>
      </c>
      <c r="LT26" s="7"/>
      <c r="LX26" s="36"/>
      <c r="LY26" s="34" t="s">
        <v>11</v>
      </c>
      <c r="LZ26" s="37">
        <v>20</v>
      </c>
      <c r="MA26" s="7"/>
      <c r="MF26" s="34" t="s">
        <v>6</v>
      </c>
      <c r="MG26" s="37">
        <v>20</v>
      </c>
      <c r="MH26" s="7">
        <v>130</v>
      </c>
      <c r="ML26" s="34" t="s">
        <v>12</v>
      </c>
      <c r="MM26" s="37">
        <v>20</v>
      </c>
      <c r="MN26" s="7"/>
      <c r="MR26" s="34" t="s">
        <v>13</v>
      </c>
      <c r="MS26" s="37">
        <v>20</v>
      </c>
      <c r="MT26" s="7">
        <v>1833</v>
      </c>
      <c r="MX26" s="34" t="s">
        <v>6</v>
      </c>
      <c r="MY26" s="37">
        <v>20</v>
      </c>
      <c r="MZ26" s="7">
        <v>501</v>
      </c>
      <c r="ND26" s="34" t="s">
        <v>7</v>
      </c>
      <c r="NE26" s="37">
        <v>20</v>
      </c>
      <c r="NF26" s="7"/>
      <c r="NJ26" s="34" t="s">
        <v>8</v>
      </c>
      <c r="NK26" s="37">
        <v>20</v>
      </c>
      <c r="NL26" s="7"/>
      <c r="NP26" s="34" t="s">
        <v>10</v>
      </c>
      <c r="NQ26" s="37">
        <v>20</v>
      </c>
      <c r="NR26" s="7"/>
      <c r="NV26" s="36"/>
      <c r="NW26" s="34" t="s">
        <v>11</v>
      </c>
      <c r="NX26" s="37">
        <v>19</v>
      </c>
      <c r="NY26" s="7"/>
      <c r="OD26" s="34" t="s">
        <v>6</v>
      </c>
      <c r="OE26" s="37">
        <v>19</v>
      </c>
      <c r="OF26" s="7"/>
      <c r="OJ26" s="34" t="s">
        <v>12</v>
      </c>
      <c r="OK26" s="37">
        <v>19</v>
      </c>
      <c r="OL26" s="7"/>
      <c r="OP26" s="34" t="s">
        <v>13</v>
      </c>
      <c r="OQ26" s="37">
        <v>19</v>
      </c>
      <c r="OV26" s="34" t="s">
        <v>6</v>
      </c>
      <c r="OW26" s="37">
        <v>19</v>
      </c>
      <c r="PB26" s="34" t="s">
        <v>7</v>
      </c>
      <c r="PC26" s="37">
        <v>19</v>
      </c>
      <c r="PH26" s="34" t="s">
        <v>8</v>
      </c>
      <c r="PI26" s="37">
        <v>19</v>
      </c>
      <c r="PN26" s="34" t="s">
        <v>10</v>
      </c>
      <c r="PO26" s="37">
        <v>19</v>
      </c>
    </row>
    <row r="27" spans="1:431" x14ac:dyDescent="0.3">
      <c r="A27" s="34">
        <v>25</v>
      </c>
      <c r="C27" s="7">
        <v>305</v>
      </c>
      <c r="H27" s="34">
        <v>25</v>
      </c>
      <c r="J27" s="7"/>
      <c r="N27" s="34" t="s">
        <v>99</v>
      </c>
      <c r="P27" s="7">
        <v>580</v>
      </c>
      <c r="U27" s="38" t="s">
        <v>100</v>
      </c>
      <c r="W27" s="7">
        <v>10</v>
      </c>
      <c r="AB27" s="34" t="s">
        <v>101</v>
      </c>
      <c r="AD27" s="7"/>
      <c r="AI27" s="34" t="s">
        <v>97</v>
      </c>
      <c r="AK27" s="7"/>
      <c r="AO27" s="34" t="s">
        <v>101</v>
      </c>
      <c r="AQ27" s="7">
        <v>0</v>
      </c>
      <c r="AU27" s="34" t="s">
        <v>102</v>
      </c>
      <c r="AV27" s="7">
        <v>110</v>
      </c>
      <c r="AZ27" s="34" t="s">
        <v>7</v>
      </c>
      <c r="BA27" s="37">
        <v>25</v>
      </c>
      <c r="BB27" s="7">
        <v>260</v>
      </c>
      <c r="BF27" s="34" t="s">
        <v>8</v>
      </c>
      <c r="BG27" s="37">
        <v>25</v>
      </c>
      <c r="BH27" s="7">
        <v>250</v>
      </c>
      <c r="BL27" s="34" t="s">
        <v>12</v>
      </c>
      <c r="BM27" s="37">
        <v>25</v>
      </c>
      <c r="BN27" s="7"/>
      <c r="BR27" s="34" t="s">
        <v>8</v>
      </c>
      <c r="BS27" s="37">
        <v>25</v>
      </c>
      <c r="BT27" s="1">
        <v>0</v>
      </c>
      <c r="BX27" s="34" t="s">
        <v>12</v>
      </c>
      <c r="BY27" s="37">
        <v>25</v>
      </c>
      <c r="BZ27" s="7">
        <v>540</v>
      </c>
      <c r="CD27" s="34" t="s">
        <v>11</v>
      </c>
      <c r="CE27" s="37">
        <v>25</v>
      </c>
      <c r="CF27" s="7">
        <v>800</v>
      </c>
      <c r="CH27" s="7"/>
      <c r="CJ27" s="34" t="s">
        <v>6</v>
      </c>
      <c r="CK27" s="37">
        <v>25</v>
      </c>
      <c r="CL27" s="7">
        <v>3186</v>
      </c>
      <c r="CN27" s="34" t="s">
        <v>7</v>
      </c>
      <c r="CO27" s="37">
        <v>25</v>
      </c>
      <c r="CP27" s="7"/>
      <c r="CT27" s="34" t="s">
        <v>13</v>
      </c>
      <c r="CU27" s="37">
        <v>25</v>
      </c>
      <c r="CV27" s="7"/>
      <c r="DA27" s="34" t="s">
        <v>10</v>
      </c>
      <c r="DB27" s="37">
        <v>25</v>
      </c>
      <c r="DC27" s="1">
        <v>0</v>
      </c>
      <c r="DG27" s="34" t="s">
        <v>11</v>
      </c>
      <c r="DH27" s="37">
        <v>25</v>
      </c>
      <c r="DI27" s="7">
        <v>944</v>
      </c>
      <c r="DL27" s="34" t="s">
        <v>8</v>
      </c>
      <c r="DM27" s="37">
        <v>25</v>
      </c>
      <c r="DN27" s="7">
        <v>1872</v>
      </c>
      <c r="DP27" s="7"/>
      <c r="DR27" s="34" t="s">
        <v>12</v>
      </c>
      <c r="DS27" s="37">
        <v>25</v>
      </c>
      <c r="DT27" s="7">
        <v>508</v>
      </c>
      <c r="DX27" s="34" t="s">
        <v>13</v>
      </c>
      <c r="DY27" s="37">
        <v>25</v>
      </c>
      <c r="DZ27" s="7"/>
      <c r="ED27" s="34" t="s">
        <v>6</v>
      </c>
      <c r="EE27" s="37">
        <v>25</v>
      </c>
      <c r="EF27" s="7"/>
      <c r="EK27" s="34" t="s">
        <v>11</v>
      </c>
      <c r="EL27" s="37">
        <v>25</v>
      </c>
      <c r="EM27" s="1"/>
      <c r="EQ27" s="34" t="s">
        <v>6</v>
      </c>
      <c r="ER27" s="37">
        <v>25</v>
      </c>
      <c r="ES27" s="7">
        <v>1808</v>
      </c>
      <c r="EW27" s="34" t="s">
        <v>12</v>
      </c>
      <c r="EX27" s="37">
        <v>25</v>
      </c>
      <c r="EY27" s="7"/>
      <c r="FA27" s="7"/>
      <c r="FC27" s="34" t="s">
        <v>13</v>
      </c>
      <c r="FD27" s="37">
        <v>25</v>
      </c>
      <c r="FE27" s="7">
        <v>100</v>
      </c>
      <c r="FI27" s="34" t="s">
        <v>6</v>
      </c>
      <c r="FJ27" s="37">
        <v>25</v>
      </c>
      <c r="FK27" s="7"/>
      <c r="FL27" s="10">
        <v>1872</v>
      </c>
      <c r="FO27" s="34" t="s">
        <v>7</v>
      </c>
      <c r="FP27" s="37">
        <v>25</v>
      </c>
      <c r="FQ27" s="7">
        <v>400</v>
      </c>
      <c r="FR27" s="12">
        <v>508</v>
      </c>
      <c r="FU27" s="34" t="s">
        <v>8</v>
      </c>
      <c r="FV27" s="37">
        <v>25</v>
      </c>
      <c r="FW27" s="7">
        <v>1410</v>
      </c>
      <c r="FX27" s="7"/>
      <c r="GA27" s="34" t="s">
        <v>10</v>
      </c>
      <c r="GB27" s="37">
        <v>25</v>
      </c>
      <c r="GC27" s="7"/>
      <c r="GH27" s="34" t="s">
        <v>11</v>
      </c>
      <c r="GI27" s="37">
        <v>24</v>
      </c>
      <c r="GJ27" s="13"/>
      <c r="GN27" s="34" t="s">
        <v>6</v>
      </c>
      <c r="GO27" s="37">
        <v>24</v>
      </c>
      <c r="GP27" s="15">
        <v>400</v>
      </c>
      <c r="GT27" s="34" t="s">
        <v>12</v>
      </c>
      <c r="GU27" s="37">
        <v>24</v>
      </c>
      <c r="GV27" s="6"/>
      <c r="GW27" s="7"/>
      <c r="GX27" s="7"/>
      <c r="GZ27" s="34" t="s">
        <v>13</v>
      </c>
      <c r="HA27" s="37">
        <v>24</v>
      </c>
      <c r="HB27" s="15">
        <v>249</v>
      </c>
      <c r="HF27" s="34" t="s">
        <v>6</v>
      </c>
      <c r="HG27" s="37">
        <v>24</v>
      </c>
      <c r="HH27" s="15">
        <v>4805</v>
      </c>
      <c r="HI27" s="10"/>
      <c r="HL27" s="34" t="s">
        <v>7</v>
      </c>
      <c r="HM27" s="37">
        <v>24</v>
      </c>
      <c r="HN27" s="15">
        <v>745</v>
      </c>
      <c r="HO27" s="12"/>
      <c r="HR27" s="34" t="s">
        <v>8</v>
      </c>
      <c r="HS27" s="37">
        <v>24</v>
      </c>
      <c r="HT27" s="15"/>
      <c r="HU27" s="7"/>
      <c r="HX27" s="34" t="s">
        <v>10</v>
      </c>
      <c r="HY27" s="37">
        <v>24</v>
      </c>
      <c r="HZ27" s="15"/>
      <c r="IJ27" s="34" t="s">
        <v>6</v>
      </c>
      <c r="IK27" s="37">
        <v>23</v>
      </c>
      <c r="IL27" s="6"/>
      <c r="IP27" s="34" t="s">
        <v>12</v>
      </c>
      <c r="IQ27" s="37">
        <v>23</v>
      </c>
      <c r="IR27" s="6"/>
      <c r="IV27" s="34" t="s">
        <v>13</v>
      </c>
      <c r="IW27" s="37">
        <v>23</v>
      </c>
      <c r="IX27" s="7">
        <v>310</v>
      </c>
      <c r="JA27" s="37"/>
      <c r="JB27" s="34" t="s">
        <v>6</v>
      </c>
      <c r="JC27" s="37">
        <v>23</v>
      </c>
      <c r="JD27" s="7">
        <v>155</v>
      </c>
      <c r="JH27" s="34" t="s">
        <v>7</v>
      </c>
      <c r="JI27" s="37">
        <v>23</v>
      </c>
      <c r="JJ27" s="7">
        <v>710</v>
      </c>
      <c r="JN27" s="34" t="s">
        <v>8</v>
      </c>
      <c r="JO27" s="37">
        <v>23</v>
      </c>
      <c r="JP27" s="7">
        <v>870</v>
      </c>
      <c r="JT27" s="34" t="s">
        <v>10</v>
      </c>
      <c r="JU27" s="37">
        <v>23</v>
      </c>
      <c r="JV27" s="7"/>
      <c r="KA27" s="34" t="s">
        <v>8</v>
      </c>
      <c r="KB27" s="37">
        <v>23</v>
      </c>
      <c r="KC27" s="7"/>
      <c r="KH27" s="34" t="s">
        <v>12</v>
      </c>
      <c r="KI27" s="37">
        <v>23</v>
      </c>
      <c r="KJ27" s="7"/>
      <c r="KN27" s="34" t="s">
        <v>7</v>
      </c>
      <c r="KO27" s="37">
        <v>22</v>
      </c>
      <c r="KP27" s="7"/>
      <c r="KT27" s="34" t="s">
        <v>8</v>
      </c>
      <c r="KU27" s="37">
        <v>22</v>
      </c>
      <c r="KV27" s="7">
        <v>830</v>
      </c>
      <c r="KZ27" s="34" t="s">
        <v>10</v>
      </c>
      <c r="LA27" s="37">
        <v>22</v>
      </c>
      <c r="LB27" s="7">
        <v>750</v>
      </c>
      <c r="LF27" s="34" t="s">
        <v>11</v>
      </c>
      <c r="LG27" s="37">
        <v>22</v>
      </c>
      <c r="LH27" s="7">
        <v>490</v>
      </c>
      <c r="LL27" s="34" t="s">
        <v>6</v>
      </c>
      <c r="LM27" s="37">
        <v>22</v>
      </c>
      <c r="LN27" s="7"/>
      <c r="LR27" s="34" t="s">
        <v>12</v>
      </c>
      <c r="LS27" s="37">
        <v>22</v>
      </c>
      <c r="LT27" s="7"/>
      <c r="LX27" s="36"/>
      <c r="LY27" s="34" t="s">
        <v>13</v>
      </c>
      <c r="LZ27" s="37">
        <v>21</v>
      </c>
      <c r="MA27" s="7"/>
      <c r="MF27" s="34" t="s">
        <v>10</v>
      </c>
      <c r="MG27" s="37">
        <v>21</v>
      </c>
      <c r="MH27" s="7"/>
      <c r="ML27" s="34" t="s">
        <v>7</v>
      </c>
      <c r="MM27" s="37">
        <v>21</v>
      </c>
      <c r="MN27" s="7"/>
      <c r="MR27" s="34" t="s">
        <v>8</v>
      </c>
      <c r="MS27" s="37">
        <v>21</v>
      </c>
      <c r="MT27" s="7">
        <v>5896</v>
      </c>
      <c r="MX27" s="34" t="s">
        <v>10</v>
      </c>
      <c r="MY27" s="37">
        <v>21</v>
      </c>
      <c r="MZ27" s="7"/>
      <c r="ND27" s="34" t="s">
        <v>11</v>
      </c>
      <c r="NE27" s="37">
        <v>21</v>
      </c>
      <c r="NF27" s="7">
        <v>1445</v>
      </c>
      <c r="NJ27" s="34" t="s">
        <v>6</v>
      </c>
      <c r="NK27" s="37">
        <v>21</v>
      </c>
      <c r="NL27" s="7">
        <v>173</v>
      </c>
      <c r="NP27" s="34" t="s">
        <v>12</v>
      </c>
      <c r="NQ27" s="37">
        <v>21</v>
      </c>
      <c r="NR27" s="7"/>
      <c r="NV27" s="36"/>
      <c r="NW27" s="34" t="s">
        <v>13</v>
      </c>
      <c r="NX27" s="37">
        <v>20</v>
      </c>
      <c r="NY27" s="7"/>
      <c r="OD27" s="34" t="s">
        <v>10</v>
      </c>
      <c r="OE27" s="37">
        <v>20</v>
      </c>
      <c r="OF27" s="7">
        <v>40</v>
      </c>
      <c r="OJ27" s="34" t="s">
        <v>7</v>
      </c>
      <c r="OK27" s="37">
        <v>20</v>
      </c>
      <c r="OL27" s="7"/>
      <c r="OP27" s="34" t="s">
        <v>8</v>
      </c>
      <c r="OQ27" s="37">
        <v>20</v>
      </c>
      <c r="OV27" s="34" t="s">
        <v>10</v>
      </c>
      <c r="OW27" s="37">
        <v>20</v>
      </c>
      <c r="PB27" s="34" t="s">
        <v>11</v>
      </c>
      <c r="PC27" s="37">
        <v>20</v>
      </c>
      <c r="PH27" s="34" t="s">
        <v>6</v>
      </c>
      <c r="PI27" s="37">
        <v>20</v>
      </c>
      <c r="PN27" s="34" t="s">
        <v>12</v>
      </c>
      <c r="PO27" s="37">
        <v>20</v>
      </c>
    </row>
    <row r="28" spans="1:431" x14ac:dyDescent="0.3">
      <c r="A28" s="34">
        <v>26</v>
      </c>
      <c r="C28" s="7">
        <v>305</v>
      </c>
      <c r="H28" s="34">
        <v>26</v>
      </c>
      <c r="J28" s="7"/>
      <c r="N28" s="34">
        <v>26</v>
      </c>
      <c r="P28" s="7">
        <v>95</v>
      </c>
      <c r="U28" s="34" t="s">
        <v>103</v>
      </c>
      <c r="W28" s="7">
        <v>285</v>
      </c>
      <c r="X28" s="40"/>
      <c r="AB28" s="34" t="s">
        <v>104</v>
      </c>
      <c r="AD28" s="7">
        <v>305</v>
      </c>
      <c r="AI28" s="38" t="s">
        <v>100</v>
      </c>
      <c r="AK28" s="7"/>
      <c r="AO28" s="34" t="s">
        <v>104</v>
      </c>
      <c r="AQ28" s="7">
        <v>350</v>
      </c>
      <c r="AU28" s="38" t="s">
        <v>105</v>
      </c>
      <c r="AV28" s="7">
        <v>220</v>
      </c>
      <c r="AZ28" s="34" t="s">
        <v>11</v>
      </c>
      <c r="BA28" s="37">
        <v>26</v>
      </c>
      <c r="BB28" s="7">
        <v>250</v>
      </c>
      <c r="BF28" s="34" t="s">
        <v>6</v>
      </c>
      <c r="BG28" s="37">
        <v>26</v>
      </c>
      <c r="BH28" s="7">
        <v>575</v>
      </c>
      <c r="BL28" s="34" t="s">
        <v>7</v>
      </c>
      <c r="BM28" s="37">
        <v>26</v>
      </c>
      <c r="BN28" s="7"/>
      <c r="BR28" s="34" t="s">
        <v>6</v>
      </c>
      <c r="BS28" s="37">
        <v>26</v>
      </c>
      <c r="BT28" s="1">
        <v>160</v>
      </c>
      <c r="BX28" s="34" t="s">
        <v>7</v>
      </c>
      <c r="BY28" s="37">
        <v>26</v>
      </c>
      <c r="BZ28" s="7">
        <v>190</v>
      </c>
      <c r="CD28" s="34" t="s">
        <v>13</v>
      </c>
      <c r="CE28" s="37">
        <v>26</v>
      </c>
      <c r="CF28" s="7">
        <v>355</v>
      </c>
      <c r="CH28" s="7"/>
      <c r="CJ28" s="34" t="s">
        <v>10</v>
      </c>
      <c r="CK28" s="37">
        <v>26</v>
      </c>
      <c r="CL28" s="7">
        <v>635</v>
      </c>
      <c r="CN28" s="34" t="s">
        <v>11</v>
      </c>
      <c r="CO28" s="37">
        <v>26</v>
      </c>
      <c r="CP28" s="7"/>
      <c r="CT28" s="34" t="s">
        <v>8</v>
      </c>
      <c r="CU28" s="37">
        <v>26</v>
      </c>
      <c r="CV28" s="7"/>
      <c r="DA28" s="34" t="s">
        <v>12</v>
      </c>
      <c r="DB28" s="37">
        <v>26</v>
      </c>
      <c r="DC28" s="1"/>
      <c r="DG28" s="34" t="s">
        <v>13</v>
      </c>
      <c r="DH28" s="37">
        <v>26</v>
      </c>
      <c r="DI28" s="7">
        <v>410</v>
      </c>
      <c r="DL28" s="34" t="s">
        <v>6</v>
      </c>
      <c r="DM28" s="37">
        <v>26</v>
      </c>
      <c r="DN28" s="7">
        <v>1992</v>
      </c>
      <c r="DP28" s="7"/>
      <c r="DR28" s="34" t="s">
        <v>7</v>
      </c>
      <c r="DS28" s="37">
        <v>26</v>
      </c>
      <c r="DT28" s="7">
        <v>633</v>
      </c>
      <c r="DX28" s="34" t="s">
        <v>8</v>
      </c>
      <c r="DY28" s="37">
        <v>26</v>
      </c>
      <c r="DZ28" s="7"/>
      <c r="ED28" s="34" t="s">
        <v>10</v>
      </c>
      <c r="EE28" s="37">
        <v>26</v>
      </c>
      <c r="EF28" s="7"/>
      <c r="EK28" s="34" t="s">
        <v>13</v>
      </c>
      <c r="EL28" s="37">
        <v>26</v>
      </c>
      <c r="EM28" s="1"/>
      <c r="EQ28" s="34" t="s">
        <v>10</v>
      </c>
      <c r="ER28" s="37">
        <v>26</v>
      </c>
      <c r="ES28" s="7"/>
      <c r="EW28" s="34" t="s">
        <v>7</v>
      </c>
      <c r="EX28" s="37">
        <v>26</v>
      </c>
      <c r="EY28" s="7"/>
      <c r="FA28" s="7"/>
      <c r="FC28" s="34" t="s">
        <v>8</v>
      </c>
      <c r="FD28" s="37">
        <v>26</v>
      </c>
      <c r="FE28" s="7">
        <v>235</v>
      </c>
      <c r="FI28" s="34" t="s">
        <v>10</v>
      </c>
      <c r="FJ28" s="37">
        <v>26</v>
      </c>
      <c r="FK28" s="7"/>
      <c r="FL28" s="10">
        <v>1992</v>
      </c>
      <c r="FO28" s="34" t="s">
        <v>11</v>
      </c>
      <c r="FP28" s="37">
        <v>26</v>
      </c>
      <c r="FQ28" s="7"/>
      <c r="FR28" s="12">
        <v>633</v>
      </c>
      <c r="FU28" s="34" t="s">
        <v>6</v>
      </c>
      <c r="FV28" s="37">
        <v>26</v>
      </c>
      <c r="FW28" s="7">
        <v>180</v>
      </c>
      <c r="FX28" s="7"/>
      <c r="GA28" s="34" t="s">
        <v>12</v>
      </c>
      <c r="GB28" s="37">
        <v>26</v>
      </c>
      <c r="GC28" s="7"/>
      <c r="GH28" s="34" t="s">
        <v>13</v>
      </c>
      <c r="GI28" s="37">
        <v>25</v>
      </c>
      <c r="GJ28" s="13"/>
      <c r="GN28" s="34" t="s">
        <v>10</v>
      </c>
      <c r="GO28" s="37">
        <v>25</v>
      </c>
      <c r="GP28" s="15"/>
      <c r="GT28" s="34" t="s">
        <v>7</v>
      </c>
      <c r="GU28" s="37">
        <v>25</v>
      </c>
      <c r="GV28" s="6"/>
      <c r="GW28" s="7"/>
      <c r="GX28" s="7"/>
      <c r="GZ28" s="34" t="s">
        <v>8</v>
      </c>
      <c r="HA28" s="37">
        <v>25</v>
      </c>
      <c r="HB28" s="15"/>
      <c r="HF28" s="34" t="s">
        <v>10</v>
      </c>
      <c r="HG28" s="37">
        <v>25</v>
      </c>
      <c r="HI28" s="10"/>
      <c r="HL28" s="34" t="s">
        <v>11</v>
      </c>
      <c r="HM28" s="37">
        <v>25</v>
      </c>
      <c r="HN28" s="15">
        <v>880</v>
      </c>
      <c r="HO28" s="12"/>
      <c r="HR28" s="34" t="s">
        <v>6</v>
      </c>
      <c r="HS28" s="37">
        <v>25</v>
      </c>
      <c r="HT28" s="15">
        <v>531</v>
      </c>
      <c r="HU28" s="7"/>
      <c r="HX28" s="34" t="s">
        <v>12</v>
      </c>
      <c r="HY28" s="37">
        <v>25</v>
      </c>
      <c r="HZ28" s="15"/>
      <c r="IJ28" s="34" t="s">
        <v>10</v>
      </c>
      <c r="IK28" s="37">
        <v>24</v>
      </c>
      <c r="IL28" s="6"/>
      <c r="IP28" s="34" t="s">
        <v>7</v>
      </c>
      <c r="IQ28" s="37">
        <v>24</v>
      </c>
      <c r="IR28" s="6">
        <v>170</v>
      </c>
      <c r="IV28" s="34" t="s">
        <v>8</v>
      </c>
      <c r="IW28" s="37">
        <v>24</v>
      </c>
      <c r="IX28" s="7">
        <v>2345</v>
      </c>
      <c r="JA28" s="37"/>
      <c r="JB28" s="34" t="s">
        <v>10</v>
      </c>
      <c r="JC28" s="37">
        <v>24</v>
      </c>
      <c r="JD28" s="7"/>
      <c r="JH28" s="34" t="s">
        <v>11</v>
      </c>
      <c r="JI28" s="37">
        <v>24</v>
      </c>
      <c r="JJ28" s="7">
        <v>133</v>
      </c>
      <c r="JN28" s="34" t="s">
        <v>6</v>
      </c>
      <c r="JO28" s="37">
        <v>24</v>
      </c>
      <c r="JP28" s="7">
        <v>1210</v>
      </c>
      <c r="JT28" s="34" t="s">
        <v>12</v>
      </c>
      <c r="JU28" s="37">
        <v>24</v>
      </c>
      <c r="JV28" s="7"/>
      <c r="KA28" s="34" t="s">
        <v>6</v>
      </c>
      <c r="KB28" s="37">
        <v>24</v>
      </c>
      <c r="KC28" s="7"/>
      <c r="KH28" s="34" t="s">
        <v>7</v>
      </c>
      <c r="KI28" s="37">
        <v>24</v>
      </c>
      <c r="KJ28" s="7"/>
      <c r="KN28" s="34" t="s">
        <v>11</v>
      </c>
      <c r="KO28" s="37">
        <v>23</v>
      </c>
      <c r="KP28" s="7"/>
      <c r="KT28" s="34" t="s">
        <v>6</v>
      </c>
      <c r="KU28" s="37">
        <v>23</v>
      </c>
      <c r="KV28" s="7">
        <v>2160</v>
      </c>
      <c r="KZ28" s="34" t="s">
        <v>12</v>
      </c>
      <c r="LA28" s="37">
        <v>23</v>
      </c>
      <c r="LB28" s="7">
        <v>155</v>
      </c>
      <c r="LF28" s="34" t="s">
        <v>13</v>
      </c>
      <c r="LG28" s="37">
        <v>23</v>
      </c>
      <c r="LH28" s="7"/>
      <c r="LL28" s="34" t="s">
        <v>10</v>
      </c>
      <c r="LM28" s="37">
        <v>23</v>
      </c>
      <c r="LN28" s="7"/>
      <c r="LR28" s="34" t="s">
        <v>7</v>
      </c>
      <c r="LS28" s="37">
        <v>23</v>
      </c>
      <c r="LT28" s="7"/>
      <c r="LX28" s="36"/>
      <c r="LY28" s="34" t="s">
        <v>8</v>
      </c>
      <c r="LZ28" s="37">
        <v>22</v>
      </c>
      <c r="MA28" s="7"/>
      <c r="MF28" s="34" t="s">
        <v>12</v>
      </c>
      <c r="MG28" s="37">
        <v>22</v>
      </c>
      <c r="MH28" s="7"/>
      <c r="ML28" s="34" t="s">
        <v>11</v>
      </c>
      <c r="MM28" s="37">
        <v>22</v>
      </c>
      <c r="MN28" s="7">
        <v>340</v>
      </c>
      <c r="MR28" s="34" t="s">
        <v>6</v>
      </c>
      <c r="MS28" s="37">
        <v>22</v>
      </c>
      <c r="MT28" s="7">
        <v>4550</v>
      </c>
      <c r="MX28" s="34" t="s">
        <v>12</v>
      </c>
      <c r="MY28" s="37">
        <v>22</v>
      </c>
      <c r="MZ28" s="7">
        <v>397</v>
      </c>
      <c r="ND28" s="34" t="s">
        <v>13</v>
      </c>
      <c r="NE28" s="37">
        <v>22</v>
      </c>
      <c r="NF28" s="7">
        <v>504</v>
      </c>
      <c r="NJ28" s="34" t="s">
        <v>10</v>
      </c>
      <c r="NK28" s="37">
        <v>22</v>
      </c>
      <c r="NL28" s="7"/>
      <c r="NP28" s="34" t="s">
        <v>7</v>
      </c>
      <c r="NQ28" s="37">
        <v>22</v>
      </c>
      <c r="NR28" s="7"/>
      <c r="NV28" s="36"/>
      <c r="NW28" s="34" t="s">
        <v>8</v>
      </c>
      <c r="NX28" s="37">
        <v>21</v>
      </c>
      <c r="NY28" s="7">
        <v>243</v>
      </c>
      <c r="OD28" s="34" t="s">
        <v>12</v>
      </c>
      <c r="OE28" s="37">
        <v>21</v>
      </c>
      <c r="OF28" s="7"/>
      <c r="OJ28" s="34" t="s">
        <v>11</v>
      </c>
      <c r="OK28" s="37">
        <v>21</v>
      </c>
      <c r="OL28" s="7">
        <v>240</v>
      </c>
      <c r="OP28" s="34" t="s">
        <v>6</v>
      </c>
      <c r="OQ28" s="37">
        <v>21</v>
      </c>
      <c r="OV28" s="34" t="s">
        <v>12</v>
      </c>
      <c r="OW28" s="37">
        <v>21</v>
      </c>
      <c r="PB28" s="34" t="s">
        <v>13</v>
      </c>
      <c r="PC28" s="37">
        <v>21</v>
      </c>
      <c r="PH28" s="34" t="s">
        <v>10</v>
      </c>
      <c r="PI28" s="37">
        <v>21</v>
      </c>
      <c r="PN28" s="34" t="s">
        <v>7</v>
      </c>
      <c r="PO28" s="37">
        <v>21</v>
      </c>
    </row>
    <row r="29" spans="1:431" x14ac:dyDescent="0.3">
      <c r="A29" s="34">
        <v>27</v>
      </c>
      <c r="C29" s="7">
        <v>305</v>
      </c>
      <c r="H29" s="34" t="s">
        <v>106</v>
      </c>
      <c r="J29" s="7"/>
      <c r="N29" s="34">
        <v>27</v>
      </c>
      <c r="P29" s="7"/>
      <c r="U29" s="34" t="s">
        <v>107</v>
      </c>
      <c r="W29" s="7">
        <v>50</v>
      </c>
      <c r="AB29" s="34" t="s">
        <v>108</v>
      </c>
      <c r="AD29" s="7">
        <v>845</v>
      </c>
      <c r="AI29" s="34" t="s">
        <v>103</v>
      </c>
      <c r="AK29" s="7"/>
      <c r="AO29" s="34" t="s">
        <v>108</v>
      </c>
      <c r="AQ29" s="7">
        <v>865</v>
      </c>
      <c r="AU29" s="34" t="s">
        <v>109</v>
      </c>
      <c r="AV29" s="7">
        <v>170</v>
      </c>
      <c r="AZ29" s="34" t="s">
        <v>13</v>
      </c>
      <c r="BA29" s="37">
        <v>27</v>
      </c>
      <c r="BB29" s="7">
        <v>125</v>
      </c>
      <c r="BF29" s="34" t="s">
        <v>10</v>
      </c>
      <c r="BG29" s="37">
        <v>27</v>
      </c>
      <c r="BH29" s="7">
        <v>0</v>
      </c>
      <c r="BL29" s="34" t="s">
        <v>11</v>
      </c>
      <c r="BM29" s="37">
        <v>27</v>
      </c>
      <c r="BN29" s="7"/>
      <c r="BR29" s="34" t="s">
        <v>10</v>
      </c>
      <c r="BS29" s="37">
        <v>27</v>
      </c>
      <c r="BT29" s="1">
        <v>0</v>
      </c>
      <c r="BX29" s="34" t="s">
        <v>11</v>
      </c>
      <c r="BY29" s="37">
        <v>27</v>
      </c>
      <c r="BZ29" s="7">
        <v>850</v>
      </c>
      <c r="CD29" s="34" t="s">
        <v>8</v>
      </c>
      <c r="CE29" s="37">
        <v>27</v>
      </c>
      <c r="CF29" s="7">
        <v>0</v>
      </c>
      <c r="CH29" s="7"/>
      <c r="CJ29" s="34" t="s">
        <v>12</v>
      </c>
      <c r="CK29" s="37">
        <v>27</v>
      </c>
      <c r="CL29" s="7">
        <v>330</v>
      </c>
      <c r="CN29" s="34" t="s">
        <v>13</v>
      </c>
      <c r="CO29" s="37">
        <v>27</v>
      </c>
      <c r="CP29" s="7"/>
      <c r="CT29" s="34" t="s">
        <v>6</v>
      </c>
      <c r="CU29" s="37">
        <v>27</v>
      </c>
      <c r="CV29" s="7"/>
      <c r="DA29" s="34" t="s">
        <v>7</v>
      </c>
      <c r="DB29" s="37">
        <v>27</v>
      </c>
      <c r="DC29" s="1">
        <v>0</v>
      </c>
      <c r="DG29" s="34" t="s">
        <v>8</v>
      </c>
      <c r="DH29" s="37">
        <v>27</v>
      </c>
      <c r="DI29" s="7">
        <v>1591</v>
      </c>
      <c r="DL29" s="34" t="s">
        <v>10</v>
      </c>
      <c r="DM29" s="37">
        <v>27</v>
      </c>
      <c r="DN29" s="7">
        <v>1126</v>
      </c>
      <c r="DP29" s="7"/>
      <c r="DR29" s="34" t="s">
        <v>11</v>
      </c>
      <c r="DS29" s="37">
        <v>27</v>
      </c>
      <c r="DT29" s="7">
        <v>1025</v>
      </c>
      <c r="DX29" s="34" t="s">
        <v>6</v>
      </c>
      <c r="DY29" s="37">
        <v>27</v>
      </c>
      <c r="DZ29" s="7"/>
      <c r="ED29" s="34" t="s">
        <v>12</v>
      </c>
      <c r="EE29" s="37">
        <v>27</v>
      </c>
      <c r="EF29" s="7"/>
      <c r="EK29" s="34" t="s">
        <v>8</v>
      </c>
      <c r="EL29" s="37">
        <v>27</v>
      </c>
      <c r="EM29" s="1"/>
      <c r="EQ29" s="34" t="s">
        <v>12</v>
      </c>
      <c r="ER29" s="37">
        <v>27</v>
      </c>
      <c r="ES29" s="7"/>
      <c r="EW29" s="34" t="s">
        <v>11</v>
      </c>
      <c r="EX29" s="37">
        <v>27</v>
      </c>
      <c r="EY29" s="7">
        <v>180</v>
      </c>
      <c r="FA29" s="7"/>
      <c r="FC29" s="34" t="s">
        <v>6</v>
      </c>
      <c r="FD29" s="37">
        <v>27</v>
      </c>
      <c r="FE29" s="7">
        <v>100</v>
      </c>
      <c r="FI29" s="34" t="s">
        <v>12</v>
      </c>
      <c r="FJ29" s="37">
        <v>27</v>
      </c>
      <c r="FK29" s="7"/>
      <c r="FL29" s="10">
        <v>1126</v>
      </c>
      <c r="FO29" s="34" t="s">
        <v>13</v>
      </c>
      <c r="FP29" s="37">
        <v>27</v>
      </c>
      <c r="FQ29" s="7">
        <v>475</v>
      </c>
      <c r="FR29" s="12">
        <v>1025</v>
      </c>
      <c r="FU29" s="34" t="s">
        <v>10</v>
      </c>
      <c r="FV29" s="37">
        <v>27</v>
      </c>
      <c r="FW29" s="7"/>
      <c r="FX29" s="7"/>
      <c r="GA29" s="34" t="s">
        <v>7</v>
      </c>
      <c r="GB29" s="37">
        <v>27</v>
      </c>
      <c r="GC29" s="7"/>
      <c r="GH29" s="34" t="s">
        <v>8</v>
      </c>
      <c r="GI29" s="37">
        <v>26</v>
      </c>
      <c r="GJ29" s="13">
        <v>400</v>
      </c>
      <c r="GN29" s="34" t="s">
        <v>12</v>
      </c>
      <c r="GO29" s="37">
        <v>26</v>
      </c>
      <c r="GP29" s="15"/>
      <c r="GT29" s="34" t="s">
        <v>11</v>
      </c>
      <c r="GU29" s="37">
        <v>26</v>
      </c>
      <c r="GV29" s="6">
        <v>705</v>
      </c>
      <c r="GW29" s="7"/>
      <c r="GX29" s="7"/>
      <c r="GZ29" s="34" t="s">
        <v>6</v>
      </c>
      <c r="HA29" s="37">
        <v>26</v>
      </c>
      <c r="HB29" s="15">
        <v>1175</v>
      </c>
      <c r="HF29" s="34" t="s">
        <v>12</v>
      </c>
      <c r="HG29" s="37">
        <v>26</v>
      </c>
      <c r="HH29" s="15">
        <v>470</v>
      </c>
      <c r="HI29" s="10"/>
      <c r="HL29" s="34" t="s">
        <v>13</v>
      </c>
      <c r="HM29" s="37">
        <v>26</v>
      </c>
      <c r="HN29" s="15">
        <v>375</v>
      </c>
      <c r="HO29" s="12"/>
      <c r="HR29" s="34" t="s">
        <v>10</v>
      </c>
      <c r="HS29" s="37">
        <v>26</v>
      </c>
      <c r="HT29" s="15"/>
      <c r="HU29" s="7"/>
      <c r="HX29" s="34" t="s">
        <v>7</v>
      </c>
      <c r="HY29" s="37">
        <v>26</v>
      </c>
      <c r="HZ29" s="15"/>
      <c r="IJ29" s="34" t="s">
        <v>12</v>
      </c>
      <c r="IK29" s="37">
        <v>25</v>
      </c>
      <c r="IL29" s="6"/>
      <c r="IP29" s="34" t="s">
        <v>11</v>
      </c>
      <c r="IQ29" s="37">
        <v>25</v>
      </c>
      <c r="IR29" s="6"/>
      <c r="IV29" s="34" t="s">
        <v>6</v>
      </c>
      <c r="IW29" s="37">
        <v>25</v>
      </c>
      <c r="IX29" s="7">
        <v>6022</v>
      </c>
      <c r="JA29" s="37"/>
      <c r="JB29" s="34" t="s">
        <v>12</v>
      </c>
      <c r="JC29" s="37">
        <v>25</v>
      </c>
      <c r="JD29" s="7"/>
      <c r="JH29" s="34" t="s">
        <v>13</v>
      </c>
      <c r="JI29" s="37">
        <v>25</v>
      </c>
      <c r="JJ29" s="7"/>
      <c r="JN29" s="34" t="s">
        <v>10</v>
      </c>
      <c r="JO29" s="37">
        <v>25</v>
      </c>
      <c r="JP29" s="7"/>
      <c r="JT29" s="34" t="s">
        <v>7</v>
      </c>
      <c r="JU29" s="37">
        <v>25</v>
      </c>
      <c r="JV29" s="7"/>
      <c r="KA29" s="34" t="s">
        <v>10</v>
      </c>
      <c r="KB29" s="37">
        <v>25</v>
      </c>
      <c r="KC29" s="7"/>
      <c r="KH29" s="34" t="s">
        <v>11</v>
      </c>
      <c r="KI29" s="37">
        <v>25</v>
      </c>
      <c r="KJ29" s="7"/>
      <c r="KN29" s="34" t="s">
        <v>13</v>
      </c>
      <c r="KO29" s="37">
        <v>24</v>
      </c>
      <c r="KP29" s="7"/>
      <c r="KT29" s="34" t="s">
        <v>10</v>
      </c>
      <c r="KU29" s="37">
        <v>24</v>
      </c>
      <c r="KV29" s="7">
        <v>1575</v>
      </c>
      <c r="KZ29" s="34" t="s">
        <v>7</v>
      </c>
      <c r="LA29" s="37">
        <v>24</v>
      </c>
      <c r="LB29" s="7">
        <v>508</v>
      </c>
      <c r="LF29" s="34" t="s">
        <v>8</v>
      </c>
      <c r="LG29" s="37">
        <v>24</v>
      </c>
      <c r="LH29" s="7">
        <v>1820</v>
      </c>
      <c r="LL29" s="34" t="s">
        <v>12</v>
      </c>
      <c r="LM29" s="37">
        <v>24</v>
      </c>
      <c r="LN29" s="7"/>
      <c r="LR29" s="34" t="s">
        <v>11</v>
      </c>
      <c r="LS29" s="37">
        <v>24</v>
      </c>
      <c r="LT29" s="7"/>
      <c r="LX29" s="36"/>
      <c r="LY29" s="34" t="s">
        <v>6</v>
      </c>
      <c r="LZ29" s="37">
        <v>23</v>
      </c>
      <c r="MA29" s="7"/>
      <c r="MF29" s="34" t="s">
        <v>7</v>
      </c>
      <c r="MG29" s="37">
        <v>23</v>
      </c>
      <c r="MH29" s="7"/>
      <c r="ML29" s="34" t="s">
        <v>13</v>
      </c>
      <c r="MM29" s="37">
        <v>23</v>
      </c>
      <c r="MN29" s="7"/>
      <c r="MR29" s="34" t="s">
        <v>10</v>
      </c>
      <c r="MS29" s="37">
        <v>23</v>
      </c>
      <c r="MT29" s="7">
        <v>282</v>
      </c>
      <c r="MX29" s="34" t="s">
        <v>7</v>
      </c>
      <c r="MY29" s="37">
        <v>23</v>
      </c>
      <c r="MZ29" s="7">
        <v>71</v>
      </c>
      <c r="ND29" s="34" t="s">
        <v>8</v>
      </c>
      <c r="NE29" s="37">
        <v>23</v>
      </c>
      <c r="NF29" s="7">
        <v>2801</v>
      </c>
      <c r="NJ29" s="34" t="s">
        <v>12</v>
      </c>
      <c r="NK29" s="37">
        <v>23</v>
      </c>
      <c r="NL29" s="7">
        <v>819</v>
      </c>
      <c r="NP29" s="34" t="s">
        <v>11</v>
      </c>
      <c r="NQ29" s="37">
        <v>23</v>
      </c>
      <c r="NR29" s="7"/>
      <c r="NV29" s="36"/>
      <c r="NW29" s="34" t="s">
        <v>6</v>
      </c>
      <c r="NX29" s="37">
        <v>22</v>
      </c>
      <c r="NY29" s="7">
        <v>471</v>
      </c>
      <c r="OD29" s="34" t="s">
        <v>7</v>
      </c>
      <c r="OE29" s="37">
        <v>22</v>
      </c>
      <c r="OF29" s="7"/>
      <c r="OJ29" s="34" t="s">
        <v>13</v>
      </c>
      <c r="OK29" s="37">
        <v>22</v>
      </c>
      <c r="OL29" s="7"/>
      <c r="OP29" s="34" t="s">
        <v>10</v>
      </c>
      <c r="OQ29" s="37">
        <v>22</v>
      </c>
      <c r="OV29" s="34" t="s">
        <v>7</v>
      </c>
      <c r="OW29" s="37">
        <v>22</v>
      </c>
      <c r="PB29" s="34" t="s">
        <v>8</v>
      </c>
      <c r="PC29" s="37">
        <v>22</v>
      </c>
      <c r="PH29" s="34" t="s">
        <v>12</v>
      </c>
      <c r="PI29" s="37">
        <v>22</v>
      </c>
      <c r="PN29" s="34" t="s">
        <v>11</v>
      </c>
      <c r="PO29" s="37">
        <v>22</v>
      </c>
    </row>
    <row r="30" spans="1:431" x14ac:dyDescent="0.3">
      <c r="A30" s="34">
        <v>28</v>
      </c>
      <c r="C30" s="7"/>
      <c r="H30" s="34" t="s">
        <v>110</v>
      </c>
      <c r="J30" s="7"/>
      <c r="N30" s="34">
        <v>28</v>
      </c>
      <c r="P30" s="7">
        <v>70</v>
      </c>
      <c r="U30" s="34" t="s">
        <v>111</v>
      </c>
      <c r="W30" s="7">
        <v>40</v>
      </c>
      <c r="X30" s="12"/>
      <c r="AB30" s="34" t="s">
        <v>112</v>
      </c>
      <c r="AD30" s="7">
        <v>305</v>
      </c>
      <c r="AI30" s="34" t="s">
        <v>107</v>
      </c>
      <c r="AK30" s="7"/>
      <c r="AO30" s="34" t="s">
        <v>112</v>
      </c>
      <c r="AQ30" s="7">
        <v>0</v>
      </c>
      <c r="AU30" s="34" t="s">
        <v>113</v>
      </c>
      <c r="AV30" s="7">
        <v>235</v>
      </c>
      <c r="AZ30" s="34" t="s">
        <v>8</v>
      </c>
      <c r="BA30" s="37">
        <v>28</v>
      </c>
      <c r="BB30" s="7">
        <v>624</v>
      </c>
      <c r="BF30" s="34" t="s">
        <v>12</v>
      </c>
      <c r="BG30" s="37">
        <v>28</v>
      </c>
      <c r="BH30" s="7">
        <v>270</v>
      </c>
      <c r="BL30" s="34" t="s">
        <v>13</v>
      </c>
      <c r="BM30" s="37">
        <v>28</v>
      </c>
      <c r="BN30" s="7"/>
      <c r="BR30" s="34" t="s">
        <v>12</v>
      </c>
      <c r="BS30" s="37">
        <v>28</v>
      </c>
      <c r="BT30" s="1">
        <v>0</v>
      </c>
      <c r="BX30" s="34" t="s">
        <v>13</v>
      </c>
      <c r="BY30" s="37">
        <v>28</v>
      </c>
      <c r="BZ30" s="7">
        <v>440</v>
      </c>
      <c r="CD30" s="34" t="s">
        <v>6</v>
      </c>
      <c r="CE30" s="37">
        <v>28</v>
      </c>
      <c r="CF30" s="7">
        <v>1150</v>
      </c>
      <c r="CH30" s="7"/>
      <c r="CJ30" s="34" t="s">
        <v>7</v>
      </c>
      <c r="CK30" s="37">
        <v>28</v>
      </c>
      <c r="CL30" s="7">
        <v>375</v>
      </c>
      <c r="CN30" s="34" t="s">
        <v>8</v>
      </c>
      <c r="CO30" s="37">
        <v>28</v>
      </c>
      <c r="CP30" s="7">
        <v>16</v>
      </c>
      <c r="CT30" s="34" t="s">
        <v>10</v>
      </c>
      <c r="CU30" s="37">
        <v>28</v>
      </c>
      <c r="CV30" s="7"/>
      <c r="DA30" s="34" t="s">
        <v>11</v>
      </c>
      <c r="DB30" s="37">
        <v>28</v>
      </c>
      <c r="DC30" s="1">
        <v>0</v>
      </c>
      <c r="DG30" s="34" t="s">
        <v>6</v>
      </c>
      <c r="DH30" s="37">
        <v>28</v>
      </c>
      <c r="DI30" s="7">
        <v>1261</v>
      </c>
      <c r="DL30" s="34" t="s">
        <v>12</v>
      </c>
      <c r="DM30" s="37">
        <v>28</v>
      </c>
      <c r="DN30" s="7">
        <v>730</v>
      </c>
      <c r="DP30" s="7"/>
      <c r="DR30" s="34" t="s">
        <v>13</v>
      </c>
      <c r="DS30" s="37">
        <v>28</v>
      </c>
      <c r="DT30" s="7">
        <v>38</v>
      </c>
      <c r="DX30" s="34" t="s">
        <v>10</v>
      </c>
      <c r="DY30" s="37">
        <v>28</v>
      </c>
      <c r="DZ30" s="7"/>
      <c r="ED30" s="34" t="s">
        <v>7</v>
      </c>
      <c r="EE30" s="37">
        <v>28</v>
      </c>
      <c r="EF30" s="7"/>
      <c r="EK30" s="34" t="s">
        <v>6</v>
      </c>
      <c r="EL30" s="37">
        <v>28</v>
      </c>
      <c r="EM30" s="1"/>
      <c r="EQ30" s="34" t="s">
        <v>7</v>
      </c>
      <c r="ER30" s="37">
        <v>28</v>
      </c>
      <c r="ES30" s="7">
        <v>261</v>
      </c>
      <c r="EW30" s="34" t="s">
        <v>13</v>
      </c>
      <c r="EX30" s="37">
        <v>28</v>
      </c>
      <c r="EY30" s="7"/>
      <c r="FA30" s="7"/>
      <c r="FC30" s="34" t="s">
        <v>10</v>
      </c>
      <c r="FD30" s="37">
        <v>28</v>
      </c>
      <c r="FE30" s="7">
        <v>35</v>
      </c>
      <c r="FI30" s="34" t="s">
        <v>7</v>
      </c>
      <c r="FJ30" s="37">
        <v>28</v>
      </c>
      <c r="FK30" s="7"/>
      <c r="FL30" s="10">
        <v>730</v>
      </c>
      <c r="FO30" s="34" t="s">
        <v>8</v>
      </c>
      <c r="FP30" s="37">
        <v>28</v>
      </c>
      <c r="FQ30" s="7">
        <v>820</v>
      </c>
      <c r="FR30" s="12">
        <v>38</v>
      </c>
      <c r="FU30" s="34" t="s">
        <v>12</v>
      </c>
      <c r="FV30" s="37">
        <v>28</v>
      </c>
      <c r="FW30" s="7"/>
      <c r="FX30" s="7"/>
      <c r="GA30" s="34" t="s">
        <v>11</v>
      </c>
      <c r="GB30" s="37">
        <v>28</v>
      </c>
      <c r="GC30" s="7">
        <v>455</v>
      </c>
      <c r="GH30" s="34" t="s">
        <v>6</v>
      </c>
      <c r="GI30" s="37">
        <v>27</v>
      </c>
      <c r="GJ30" s="13">
        <v>840</v>
      </c>
      <c r="GN30" s="34" t="s">
        <v>7</v>
      </c>
      <c r="GO30" s="37">
        <v>27</v>
      </c>
      <c r="GP30" s="15">
        <v>68</v>
      </c>
      <c r="GT30" s="34" t="s">
        <v>13</v>
      </c>
      <c r="GU30" s="37">
        <v>27</v>
      </c>
      <c r="GV30" s="6">
        <v>460</v>
      </c>
      <c r="GW30" s="7"/>
      <c r="GX30" s="7"/>
      <c r="GZ30" s="34" t="s">
        <v>10</v>
      </c>
      <c r="HA30" s="37">
        <v>27</v>
      </c>
      <c r="HB30" s="15">
        <v>400</v>
      </c>
      <c r="HF30" s="34" t="s">
        <v>7</v>
      </c>
      <c r="HG30" s="37">
        <v>27</v>
      </c>
      <c r="HH30" s="15">
        <v>805</v>
      </c>
      <c r="HI30" s="10"/>
      <c r="HL30" s="34" t="s">
        <v>8</v>
      </c>
      <c r="HM30" s="37">
        <v>27</v>
      </c>
      <c r="HN30" s="15">
        <v>2870</v>
      </c>
      <c r="HO30" s="12"/>
      <c r="HR30" s="34" t="s">
        <v>12</v>
      </c>
      <c r="HS30" s="37">
        <v>27</v>
      </c>
      <c r="HT30" s="15"/>
      <c r="HU30" s="7"/>
      <c r="HX30" s="34" t="s">
        <v>11</v>
      </c>
      <c r="HY30" s="37">
        <v>27</v>
      </c>
      <c r="HZ30" s="15"/>
      <c r="IJ30" s="34" t="s">
        <v>7</v>
      </c>
      <c r="IK30" s="37">
        <v>26</v>
      </c>
      <c r="IL30" s="6"/>
      <c r="IP30" s="34" t="s">
        <v>13</v>
      </c>
      <c r="IQ30" s="37">
        <v>26</v>
      </c>
      <c r="IR30" s="6">
        <v>150</v>
      </c>
      <c r="IV30" s="34" t="s">
        <v>10</v>
      </c>
      <c r="IW30" s="37">
        <v>26</v>
      </c>
      <c r="IX30" s="7"/>
      <c r="JA30" s="37"/>
      <c r="JB30" s="34" t="s">
        <v>7</v>
      </c>
      <c r="JC30" s="37">
        <v>26</v>
      </c>
      <c r="JD30" s="7">
        <v>90</v>
      </c>
      <c r="JH30" s="34" t="s">
        <v>8</v>
      </c>
      <c r="JI30" s="37">
        <v>26</v>
      </c>
      <c r="JJ30" s="7">
        <v>1545</v>
      </c>
      <c r="JN30" s="34" t="s">
        <v>12</v>
      </c>
      <c r="JO30" s="37">
        <v>26</v>
      </c>
      <c r="JP30" s="7">
        <v>200</v>
      </c>
      <c r="JT30" s="34" t="s">
        <v>11</v>
      </c>
      <c r="JU30" s="37">
        <v>26</v>
      </c>
      <c r="JV30" s="7"/>
      <c r="KA30" s="34" t="s">
        <v>12</v>
      </c>
      <c r="KB30" s="37">
        <v>26</v>
      </c>
      <c r="KC30" s="7"/>
      <c r="KH30" s="34" t="s">
        <v>13</v>
      </c>
      <c r="KI30" s="37">
        <v>26</v>
      </c>
      <c r="KJ30" s="7"/>
      <c r="KN30" s="34" t="s">
        <v>8</v>
      </c>
      <c r="KO30" s="37">
        <v>25</v>
      </c>
      <c r="KP30" s="7">
        <v>840</v>
      </c>
      <c r="KT30" s="34" t="s">
        <v>12</v>
      </c>
      <c r="KU30" s="37">
        <v>25</v>
      </c>
      <c r="KV30" s="7">
        <v>595</v>
      </c>
      <c r="KZ30" s="34" t="s">
        <v>11</v>
      </c>
      <c r="LA30" s="37">
        <v>25</v>
      </c>
      <c r="LB30" s="7">
        <v>925</v>
      </c>
      <c r="LF30" s="34" t="s">
        <v>6</v>
      </c>
      <c r="LG30" s="37">
        <v>25</v>
      </c>
      <c r="LH30" s="7">
        <v>1630</v>
      </c>
      <c r="LL30" s="34" t="s">
        <v>7</v>
      </c>
      <c r="LM30" s="37">
        <v>25</v>
      </c>
      <c r="LN30" s="7"/>
      <c r="LR30" s="34" t="s">
        <v>13</v>
      </c>
      <c r="LS30" s="37">
        <v>25</v>
      </c>
      <c r="LT30" s="7"/>
      <c r="LX30" s="36"/>
      <c r="LY30" s="34" t="s">
        <v>10</v>
      </c>
      <c r="LZ30" s="37">
        <v>24</v>
      </c>
      <c r="MA30" s="7"/>
      <c r="MF30" s="34" t="s">
        <v>11</v>
      </c>
      <c r="MG30" s="37">
        <v>24</v>
      </c>
      <c r="MH30" s="7"/>
      <c r="ML30" s="34" t="s">
        <v>8</v>
      </c>
      <c r="MM30" s="37">
        <v>24</v>
      </c>
      <c r="MN30" s="7">
        <v>526</v>
      </c>
      <c r="MR30" s="34" t="s">
        <v>12</v>
      </c>
      <c r="MS30" s="37">
        <v>24</v>
      </c>
      <c r="MT30" s="7">
        <v>566</v>
      </c>
      <c r="MX30" s="34" t="s">
        <v>11</v>
      </c>
      <c r="MY30" s="37">
        <v>24</v>
      </c>
      <c r="MZ30" s="7"/>
      <c r="ND30" s="34" t="s">
        <v>6</v>
      </c>
      <c r="NE30" s="37">
        <v>24</v>
      </c>
      <c r="NF30" s="7">
        <v>2989</v>
      </c>
      <c r="NJ30" s="34" t="s">
        <v>7</v>
      </c>
      <c r="NK30" s="37">
        <v>24</v>
      </c>
      <c r="NL30" s="7"/>
      <c r="NP30" s="34" t="s">
        <v>13</v>
      </c>
      <c r="NQ30" s="37">
        <v>24</v>
      </c>
      <c r="NR30" s="7"/>
      <c r="NV30" s="36"/>
      <c r="NW30" s="34" t="s">
        <v>10</v>
      </c>
      <c r="NX30" s="37">
        <v>23</v>
      </c>
      <c r="NY30" s="7"/>
      <c r="OD30" s="34" t="s">
        <v>11</v>
      </c>
      <c r="OE30" s="37">
        <v>23</v>
      </c>
      <c r="OF30" s="7"/>
      <c r="OJ30" s="34" t="s">
        <v>8</v>
      </c>
      <c r="OK30" s="37">
        <v>23</v>
      </c>
      <c r="OL30" s="7"/>
      <c r="OP30" s="34" t="s">
        <v>12</v>
      </c>
      <c r="OQ30" s="37">
        <v>23</v>
      </c>
      <c r="OV30" s="34" t="s">
        <v>11</v>
      </c>
      <c r="OW30" s="37">
        <v>23</v>
      </c>
      <c r="PB30" s="34" t="s">
        <v>6</v>
      </c>
      <c r="PC30" s="37">
        <v>23</v>
      </c>
      <c r="PH30" s="34" t="s">
        <v>7</v>
      </c>
      <c r="PI30" s="37">
        <v>23</v>
      </c>
      <c r="PN30" s="34" t="s">
        <v>13</v>
      </c>
      <c r="PO30" s="37">
        <v>23</v>
      </c>
    </row>
    <row r="31" spans="1:431" x14ac:dyDescent="0.3">
      <c r="A31" s="34">
        <v>29</v>
      </c>
      <c r="C31" s="7"/>
      <c r="H31" s="34">
        <v>29</v>
      </c>
      <c r="J31" s="7"/>
      <c r="N31" s="34">
        <v>29</v>
      </c>
      <c r="P31" s="7">
        <v>56</v>
      </c>
      <c r="U31" s="34" t="s">
        <v>114</v>
      </c>
      <c r="W31" s="7">
        <v>215</v>
      </c>
      <c r="X31" s="12"/>
      <c r="AB31" s="38" t="s">
        <v>115</v>
      </c>
      <c r="AD31" s="7">
        <v>400</v>
      </c>
      <c r="AI31" s="34" t="s">
        <v>111</v>
      </c>
      <c r="AK31" s="7"/>
      <c r="AO31" s="38" t="s">
        <v>115</v>
      </c>
      <c r="AQ31" s="7"/>
      <c r="AU31" s="34" t="s">
        <v>116</v>
      </c>
      <c r="AV31" s="7">
        <v>140</v>
      </c>
      <c r="AZ31" s="34" t="s">
        <v>6</v>
      </c>
      <c r="BA31" s="37">
        <v>29</v>
      </c>
      <c r="BB31" s="7">
        <v>1075</v>
      </c>
      <c r="BF31" s="34" t="s">
        <v>7</v>
      </c>
      <c r="BG31" s="37">
        <v>29</v>
      </c>
      <c r="BH31" s="7"/>
      <c r="BL31" s="34" t="s">
        <v>8</v>
      </c>
      <c r="BM31" s="37">
        <v>29</v>
      </c>
      <c r="BN31" s="7"/>
      <c r="BR31" s="34" t="s">
        <v>7</v>
      </c>
      <c r="BS31" s="37">
        <v>29</v>
      </c>
      <c r="BT31" s="1">
        <v>30</v>
      </c>
      <c r="BX31" s="34" t="s">
        <v>8</v>
      </c>
      <c r="BY31" s="37">
        <v>29</v>
      </c>
      <c r="BZ31" s="7">
        <v>1830</v>
      </c>
      <c r="CD31" s="34" t="s">
        <v>10</v>
      </c>
      <c r="CE31" s="37">
        <v>29</v>
      </c>
      <c r="CF31" s="7">
        <v>613</v>
      </c>
      <c r="CH31" s="7"/>
      <c r="CJ31" s="34" t="s">
        <v>11</v>
      </c>
      <c r="CK31" s="37">
        <v>29</v>
      </c>
      <c r="CL31" s="7">
        <v>530</v>
      </c>
      <c r="CN31" s="34" t="s">
        <v>6</v>
      </c>
      <c r="CO31" s="37">
        <v>29</v>
      </c>
      <c r="CP31" s="7"/>
      <c r="CT31" s="34" t="s">
        <v>12</v>
      </c>
      <c r="CU31" s="37">
        <v>29</v>
      </c>
      <c r="CV31" s="7"/>
      <c r="DA31" s="34" t="s">
        <v>13</v>
      </c>
      <c r="DB31" s="37">
        <v>29</v>
      </c>
      <c r="DC31" s="1"/>
      <c r="DG31" s="34" t="s">
        <v>10</v>
      </c>
      <c r="DH31" s="37">
        <v>29</v>
      </c>
      <c r="DI31" s="7">
        <v>350</v>
      </c>
      <c r="DL31" s="34" t="s">
        <v>7</v>
      </c>
      <c r="DM31" s="37">
        <v>29</v>
      </c>
      <c r="DN31" s="7">
        <v>1049</v>
      </c>
      <c r="DP31" s="7"/>
      <c r="DR31" s="34" t="s">
        <v>8</v>
      </c>
      <c r="DS31" s="37">
        <v>29</v>
      </c>
      <c r="DT31" s="7">
        <v>220</v>
      </c>
      <c r="DX31" s="34" t="s">
        <v>12</v>
      </c>
      <c r="DY31" s="37">
        <v>29</v>
      </c>
      <c r="DZ31" s="7"/>
      <c r="ED31" s="34" t="s">
        <v>11</v>
      </c>
      <c r="EE31" s="37">
        <v>29</v>
      </c>
      <c r="EF31" s="7"/>
      <c r="EK31" s="34" t="s">
        <v>10</v>
      </c>
      <c r="EL31" s="37">
        <v>29</v>
      </c>
      <c r="EM31" s="1"/>
      <c r="EQ31" s="34" t="s">
        <v>11</v>
      </c>
      <c r="ER31" s="37">
        <v>29</v>
      </c>
      <c r="ES31" s="7"/>
      <c r="EW31" s="34" t="s">
        <v>8</v>
      </c>
      <c r="EX31" s="37">
        <v>29</v>
      </c>
      <c r="EY31" s="7">
        <v>1080</v>
      </c>
      <c r="FA31" s="7"/>
      <c r="FC31" s="34" t="s">
        <v>12</v>
      </c>
      <c r="FD31" s="37">
        <v>29</v>
      </c>
      <c r="FE31" s="7"/>
      <c r="FI31" s="34" t="s">
        <v>11</v>
      </c>
      <c r="FJ31" s="37">
        <v>29</v>
      </c>
      <c r="FK31" s="7"/>
      <c r="FL31" s="10">
        <v>1049</v>
      </c>
      <c r="FO31" s="34" t="s">
        <v>6</v>
      </c>
      <c r="FP31" s="37">
        <v>29</v>
      </c>
      <c r="FQ31" s="7">
        <v>1035</v>
      </c>
      <c r="FR31" s="12">
        <v>220</v>
      </c>
      <c r="FU31" s="34" t="s">
        <v>7</v>
      </c>
      <c r="FV31" s="37">
        <v>29</v>
      </c>
      <c r="FW31" s="7"/>
      <c r="FX31" s="7"/>
      <c r="GA31" s="34" t="s">
        <v>13</v>
      </c>
      <c r="GB31" s="37">
        <v>29</v>
      </c>
      <c r="GC31" s="7"/>
      <c r="GH31" s="34" t="s">
        <v>10</v>
      </c>
      <c r="GI31" s="37">
        <v>28</v>
      </c>
      <c r="GJ31" s="13"/>
      <c r="GN31" s="34" t="s">
        <v>11</v>
      </c>
      <c r="GO31" s="37">
        <v>28</v>
      </c>
      <c r="GP31" s="15">
        <v>570</v>
      </c>
      <c r="GT31" s="34" t="s">
        <v>8</v>
      </c>
      <c r="GU31" s="37">
        <v>28</v>
      </c>
      <c r="GV31" s="6">
        <v>1380</v>
      </c>
      <c r="GW31" s="7"/>
      <c r="GX31" s="7"/>
      <c r="GZ31" s="34" t="s">
        <v>12</v>
      </c>
      <c r="HA31" s="37">
        <v>28</v>
      </c>
      <c r="HB31" s="15">
        <v>410</v>
      </c>
      <c r="HF31" s="34" t="s">
        <v>11</v>
      </c>
      <c r="HG31" s="37">
        <v>28</v>
      </c>
      <c r="HH31" s="15">
        <v>760</v>
      </c>
      <c r="HI31" s="10"/>
      <c r="HL31" s="34" t="s">
        <v>6</v>
      </c>
      <c r="HM31" s="37">
        <v>28</v>
      </c>
      <c r="HN31" s="15">
        <v>4002</v>
      </c>
      <c r="HO31" s="12"/>
      <c r="HR31" s="34" t="s">
        <v>7</v>
      </c>
      <c r="HS31" s="37">
        <v>28</v>
      </c>
      <c r="HT31" s="15"/>
      <c r="HU31" s="7"/>
      <c r="HX31" s="34" t="s">
        <v>13</v>
      </c>
      <c r="HY31" s="37">
        <v>28</v>
      </c>
      <c r="HZ31" s="15"/>
      <c r="IJ31" s="34" t="s">
        <v>11</v>
      </c>
      <c r="IK31" s="37">
        <v>27</v>
      </c>
      <c r="IL31" s="6"/>
      <c r="IP31" s="34" t="s">
        <v>8</v>
      </c>
      <c r="IQ31" s="37">
        <v>27</v>
      </c>
      <c r="IR31" s="6">
        <v>900</v>
      </c>
      <c r="IV31" s="34" t="s">
        <v>12</v>
      </c>
      <c r="IW31" s="37">
        <v>27</v>
      </c>
      <c r="IX31" s="7">
        <v>410</v>
      </c>
      <c r="JA31" s="37"/>
      <c r="JB31" s="34" t="s">
        <v>11</v>
      </c>
      <c r="JC31" s="37">
        <v>27</v>
      </c>
      <c r="JD31" s="7"/>
      <c r="JH31" s="34" t="s">
        <v>6</v>
      </c>
      <c r="JI31" s="37">
        <v>27</v>
      </c>
      <c r="JJ31" s="7">
        <v>1710</v>
      </c>
      <c r="JN31" s="34" t="s">
        <v>7</v>
      </c>
      <c r="JO31" s="37">
        <v>27</v>
      </c>
      <c r="JP31" s="7">
        <v>235</v>
      </c>
      <c r="JT31" s="34" t="s">
        <v>13</v>
      </c>
      <c r="JU31" s="37">
        <v>27</v>
      </c>
      <c r="JV31" s="7"/>
      <c r="KA31" s="34" t="s">
        <v>7</v>
      </c>
      <c r="KB31" s="37">
        <v>27</v>
      </c>
      <c r="KC31" s="7"/>
      <c r="KH31" s="34" t="s">
        <v>8</v>
      </c>
      <c r="KI31" s="37">
        <v>27</v>
      </c>
      <c r="KJ31" s="7"/>
      <c r="KN31" s="34" t="s">
        <v>6</v>
      </c>
      <c r="KO31" s="37">
        <v>26</v>
      </c>
      <c r="KP31" s="7">
        <v>666</v>
      </c>
      <c r="KT31" s="34" t="s">
        <v>7</v>
      </c>
      <c r="KU31" s="37">
        <v>26</v>
      </c>
      <c r="KV31" s="7">
        <v>1470</v>
      </c>
      <c r="KZ31" s="34" t="s">
        <v>13</v>
      </c>
      <c r="LA31" s="37">
        <v>26</v>
      </c>
      <c r="LB31" s="7"/>
      <c r="LF31" s="34" t="s">
        <v>10</v>
      </c>
      <c r="LG31" s="37">
        <v>26</v>
      </c>
      <c r="LH31" s="7">
        <v>525</v>
      </c>
      <c r="LL31" s="34" t="s">
        <v>11</v>
      </c>
      <c r="LM31" s="37">
        <v>26</v>
      </c>
      <c r="LN31" s="7">
        <v>1575</v>
      </c>
      <c r="LR31" s="34" t="s">
        <v>8</v>
      </c>
      <c r="LS31" s="37">
        <v>26</v>
      </c>
      <c r="LT31" s="7"/>
      <c r="LX31" s="36"/>
      <c r="LY31" s="34" t="s">
        <v>12</v>
      </c>
      <c r="LZ31" s="37">
        <v>25</v>
      </c>
      <c r="MA31" s="7"/>
      <c r="MF31" s="34" t="s">
        <v>13</v>
      </c>
      <c r="MG31" s="37">
        <v>25</v>
      </c>
      <c r="MH31" s="7"/>
      <c r="ML31" s="34" t="s">
        <v>6</v>
      </c>
      <c r="MM31" s="37">
        <v>25</v>
      </c>
      <c r="MN31" s="7"/>
      <c r="MR31" s="34" t="s">
        <v>7</v>
      </c>
      <c r="MS31" s="37">
        <v>25</v>
      </c>
      <c r="MT31" s="7">
        <v>1160</v>
      </c>
      <c r="MX31" s="34" t="s">
        <v>13</v>
      </c>
      <c r="MY31" s="37">
        <v>25</v>
      </c>
      <c r="MZ31" s="7">
        <v>287</v>
      </c>
      <c r="ND31" s="34" t="s">
        <v>10</v>
      </c>
      <c r="NE31" s="37">
        <v>25</v>
      </c>
      <c r="NF31" s="7">
        <v>853</v>
      </c>
      <c r="NJ31" s="34" t="s">
        <v>11</v>
      </c>
      <c r="NK31" s="37">
        <v>25</v>
      </c>
      <c r="NL31" s="7"/>
      <c r="NP31" s="34" t="s">
        <v>8</v>
      </c>
      <c r="NQ31" s="37">
        <v>25</v>
      </c>
      <c r="NR31" s="7"/>
      <c r="NV31" s="36"/>
      <c r="NW31" s="34" t="s">
        <v>12</v>
      </c>
      <c r="NX31" s="37">
        <v>24</v>
      </c>
      <c r="NY31" s="7"/>
      <c r="OD31" s="34" t="s">
        <v>13</v>
      </c>
      <c r="OE31" s="37">
        <v>24</v>
      </c>
      <c r="OF31" s="7">
        <v>291</v>
      </c>
      <c r="OJ31" s="34" t="s">
        <v>6</v>
      </c>
      <c r="OK31" s="37">
        <v>24</v>
      </c>
      <c r="OL31" s="7"/>
      <c r="OP31" s="34" t="s">
        <v>7</v>
      </c>
      <c r="OQ31" s="37">
        <v>24</v>
      </c>
      <c r="OV31" s="34" t="s">
        <v>13</v>
      </c>
      <c r="OW31" s="37">
        <v>24</v>
      </c>
      <c r="PB31" s="34" t="s">
        <v>10</v>
      </c>
      <c r="PC31" s="37">
        <v>24</v>
      </c>
      <c r="PH31" s="34" t="s">
        <v>11</v>
      </c>
      <c r="PI31" s="37">
        <v>24</v>
      </c>
      <c r="PN31" s="34" t="s">
        <v>8</v>
      </c>
      <c r="PO31" s="37">
        <v>24</v>
      </c>
    </row>
    <row r="32" spans="1:431" x14ac:dyDescent="0.3">
      <c r="A32" s="34" t="s">
        <v>117</v>
      </c>
      <c r="C32" s="7"/>
      <c r="H32" s="34">
        <v>30</v>
      </c>
      <c r="J32" s="7"/>
      <c r="N32" s="34">
        <v>30</v>
      </c>
      <c r="P32" s="7"/>
      <c r="U32" s="34" t="s">
        <v>118</v>
      </c>
      <c r="W32" s="7">
        <v>405</v>
      </c>
      <c r="X32" s="12"/>
      <c r="AB32" s="34" t="s">
        <v>119</v>
      </c>
      <c r="AD32" s="7">
        <v>60</v>
      </c>
      <c r="AI32" s="34" t="s">
        <v>114</v>
      </c>
      <c r="AK32" s="7"/>
      <c r="AO32" s="34" t="s">
        <v>119</v>
      </c>
      <c r="AQ32" s="7">
        <v>25</v>
      </c>
      <c r="AU32" s="34" t="s">
        <v>117</v>
      </c>
      <c r="AV32" s="7">
        <v>535</v>
      </c>
      <c r="AZ32" s="34" t="s">
        <v>10</v>
      </c>
      <c r="BA32" s="37">
        <v>30</v>
      </c>
      <c r="BB32" s="7">
        <v>125</v>
      </c>
      <c r="BF32" s="34" t="s">
        <v>11</v>
      </c>
      <c r="BG32" s="37">
        <v>30</v>
      </c>
      <c r="BH32" s="7">
        <v>50</v>
      </c>
      <c r="BL32" s="34" t="s">
        <v>6</v>
      </c>
      <c r="BM32" s="37">
        <v>30</v>
      </c>
      <c r="BN32" s="7"/>
      <c r="BR32" s="34" t="s">
        <v>11</v>
      </c>
      <c r="BS32" s="37">
        <v>30</v>
      </c>
      <c r="BT32" s="1">
        <v>232</v>
      </c>
      <c r="BX32" s="34" t="s">
        <v>6</v>
      </c>
      <c r="BY32" s="37">
        <v>30</v>
      </c>
      <c r="BZ32" s="7">
        <v>2440</v>
      </c>
      <c r="CD32" s="34" t="s">
        <v>12</v>
      </c>
      <c r="CE32" s="37">
        <v>30</v>
      </c>
      <c r="CF32" s="7">
        <v>180</v>
      </c>
      <c r="CH32" s="7"/>
      <c r="CJ32" s="34" t="s">
        <v>13</v>
      </c>
      <c r="CK32" s="37">
        <v>30</v>
      </c>
      <c r="CL32" s="7">
        <v>983</v>
      </c>
      <c r="CN32" s="34" t="s">
        <v>10</v>
      </c>
      <c r="CO32" s="37">
        <v>30</v>
      </c>
      <c r="CP32" s="7"/>
      <c r="CT32" s="34" t="s">
        <v>7</v>
      </c>
      <c r="CU32" s="37">
        <v>30</v>
      </c>
      <c r="CV32" s="7"/>
      <c r="DA32" s="34" t="s">
        <v>8</v>
      </c>
      <c r="DB32" s="37">
        <v>30</v>
      </c>
      <c r="DC32" s="1">
        <v>2250</v>
      </c>
      <c r="DG32" s="34" t="s">
        <v>12</v>
      </c>
      <c r="DH32" s="37">
        <v>30</v>
      </c>
      <c r="DI32" s="7">
        <v>170</v>
      </c>
      <c r="DL32" s="34" t="s">
        <v>11</v>
      </c>
      <c r="DM32" s="37">
        <v>30</v>
      </c>
      <c r="DN32" s="7">
        <v>930</v>
      </c>
      <c r="DP32" s="7"/>
      <c r="DR32" s="34" t="s">
        <v>6</v>
      </c>
      <c r="DS32" s="37">
        <v>30</v>
      </c>
      <c r="DT32" s="7">
        <v>270</v>
      </c>
      <c r="DX32" s="34" t="s">
        <v>7</v>
      </c>
      <c r="DY32" s="37">
        <v>30</v>
      </c>
      <c r="DZ32" s="7"/>
      <c r="ED32" s="34" t="s">
        <v>13</v>
      </c>
      <c r="EE32" s="37">
        <v>30</v>
      </c>
      <c r="EF32" s="7"/>
      <c r="EK32" s="34" t="s">
        <v>12</v>
      </c>
      <c r="EL32" s="37">
        <v>30</v>
      </c>
      <c r="EM32" s="1"/>
      <c r="EQ32" s="34" t="s">
        <v>13</v>
      </c>
      <c r="ER32" s="37">
        <v>30</v>
      </c>
      <c r="ES32" s="7"/>
      <c r="EW32" s="34" t="s">
        <v>6</v>
      </c>
      <c r="EX32" s="37">
        <v>30</v>
      </c>
      <c r="EY32" s="7">
        <v>2734</v>
      </c>
      <c r="FA32" s="7"/>
      <c r="FC32" s="34" t="s">
        <v>7</v>
      </c>
      <c r="FD32" s="37">
        <v>30</v>
      </c>
      <c r="FE32" s="7"/>
      <c r="FI32" s="34" t="s">
        <v>13</v>
      </c>
      <c r="FJ32" s="37">
        <v>30</v>
      </c>
      <c r="FK32" s="7">
        <v>450</v>
      </c>
      <c r="FL32" s="10">
        <v>930</v>
      </c>
      <c r="FO32" s="34" t="s">
        <v>10</v>
      </c>
      <c r="FP32" s="37">
        <v>30</v>
      </c>
      <c r="FQ32" s="7"/>
      <c r="FR32" s="12">
        <v>270</v>
      </c>
      <c r="FU32" s="34" t="s">
        <v>11</v>
      </c>
      <c r="FV32" s="37">
        <v>30</v>
      </c>
      <c r="FW32" s="7"/>
      <c r="FX32" s="7"/>
      <c r="GA32" s="34" t="s">
        <v>8</v>
      </c>
      <c r="GB32" s="37">
        <v>30</v>
      </c>
      <c r="GC32" s="7"/>
      <c r="GH32" s="34" t="s">
        <v>12</v>
      </c>
      <c r="GI32" s="37">
        <v>29</v>
      </c>
      <c r="GJ32" s="13"/>
      <c r="GN32" s="34" t="s">
        <v>13</v>
      </c>
      <c r="GO32" s="37">
        <v>29</v>
      </c>
      <c r="GP32" s="15"/>
      <c r="GT32" s="34" t="s">
        <v>6</v>
      </c>
      <c r="GU32" s="37">
        <v>29</v>
      </c>
      <c r="GV32" s="6">
        <v>411</v>
      </c>
      <c r="GW32" s="7"/>
      <c r="GX32" s="7"/>
      <c r="GZ32" s="34" t="s">
        <v>7</v>
      </c>
      <c r="HA32" s="37">
        <v>29</v>
      </c>
      <c r="HB32" s="15">
        <v>510</v>
      </c>
      <c r="HF32" s="34" t="s">
        <v>13</v>
      </c>
      <c r="HG32" s="37">
        <v>29</v>
      </c>
      <c r="HH32" s="15">
        <v>885</v>
      </c>
      <c r="HI32" s="10"/>
      <c r="HL32" s="34" t="s">
        <v>10</v>
      </c>
      <c r="HM32" s="37">
        <v>29</v>
      </c>
      <c r="HN32" s="15">
        <v>690</v>
      </c>
      <c r="HO32" s="12"/>
      <c r="HR32" s="34" t="s">
        <v>11</v>
      </c>
      <c r="HS32" s="37">
        <v>29</v>
      </c>
      <c r="HT32" s="15"/>
      <c r="HU32" s="7"/>
      <c r="HX32" s="34" t="s">
        <v>8</v>
      </c>
      <c r="HY32" s="37">
        <v>29</v>
      </c>
      <c r="HZ32" s="15"/>
      <c r="IJ32" s="34" t="s">
        <v>13</v>
      </c>
      <c r="IK32" s="37">
        <v>28</v>
      </c>
      <c r="IL32" s="6"/>
      <c r="IP32" s="34" t="s">
        <v>6</v>
      </c>
      <c r="IQ32" s="37">
        <v>28</v>
      </c>
      <c r="IR32" s="6">
        <v>3240</v>
      </c>
      <c r="IV32" s="34" t="s">
        <v>7</v>
      </c>
      <c r="IW32" s="37">
        <v>28</v>
      </c>
      <c r="IX32" s="7">
        <v>1080</v>
      </c>
      <c r="JA32" s="37"/>
      <c r="JB32" s="34" t="s">
        <v>13</v>
      </c>
      <c r="JC32" s="37">
        <v>28</v>
      </c>
      <c r="JD32" s="7"/>
      <c r="JH32" s="34" t="s">
        <v>10</v>
      </c>
      <c r="JI32" s="37">
        <v>28</v>
      </c>
      <c r="JJ32" s="7"/>
      <c r="JN32" s="34" t="s">
        <v>11</v>
      </c>
      <c r="JO32" s="37">
        <v>28</v>
      </c>
      <c r="JT32" s="34" t="s">
        <v>8</v>
      </c>
      <c r="JU32" s="37">
        <v>28</v>
      </c>
      <c r="JV32" s="7"/>
      <c r="KA32" s="34" t="s">
        <v>11</v>
      </c>
      <c r="KB32" s="37">
        <v>28</v>
      </c>
      <c r="KC32" s="7"/>
      <c r="KH32" s="34" t="s">
        <v>6</v>
      </c>
      <c r="KI32" s="37">
        <v>28</v>
      </c>
      <c r="KJ32" s="7">
        <v>370</v>
      </c>
      <c r="KN32" s="34" t="s">
        <v>10</v>
      </c>
      <c r="KO32" s="37">
        <v>27</v>
      </c>
      <c r="KP32" s="7"/>
      <c r="KT32" s="34" t="s">
        <v>11</v>
      </c>
      <c r="KU32" s="37">
        <v>27</v>
      </c>
      <c r="KV32" s="7">
        <v>220</v>
      </c>
      <c r="KZ32" s="34" t="s">
        <v>8</v>
      </c>
      <c r="LA32" s="37">
        <v>27</v>
      </c>
      <c r="LB32" s="7"/>
      <c r="LF32" s="34" t="s">
        <v>12</v>
      </c>
      <c r="LG32" s="37">
        <v>27</v>
      </c>
      <c r="LH32" s="7">
        <v>950</v>
      </c>
      <c r="LL32" s="34" t="s">
        <v>13</v>
      </c>
      <c r="LM32" s="37">
        <v>27</v>
      </c>
      <c r="LN32" s="7"/>
      <c r="LR32" s="34" t="s">
        <v>6</v>
      </c>
      <c r="LS32" s="37">
        <v>27</v>
      </c>
      <c r="LT32" s="7"/>
      <c r="LX32" s="36"/>
      <c r="LY32" s="34" t="s">
        <v>7</v>
      </c>
      <c r="LZ32" s="37">
        <v>26</v>
      </c>
      <c r="MA32" s="7"/>
      <c r="MF32" s="34" t="s">
        <v>8</v>
      </c>
      <c r="MG32" s="37">
        <v>26</v>
      </c>
      <c r="MH32" s="7">
        <v>430</v>
      </c>
      <c r="ML32" s="34" t="s">
        <v>10</v>
      </c>
      <c r="MM32" s="37">
        <v>26</v>
      </c>
      <c r="MN32" s="7"/>
      <c r="MR32" s="34" t="s">
        <v>11</v>
      </c>
      <c r="MS32" s="37">
        <v>26</v>
      </c>
      <c r="MT32" s="7">
        <v>364</v>
      </c>
      <c r="MX32" s="34" t="s">
        <v>8</v>
      </c>
      <c r="MY32" s="37">
        <v>26</v>
      </c>
      <c r="MZ32" s="7">
        <v>3281</v>
      </c>
      <c r="ND32" s="34" t="s">
        <v>12</v>
      </c>
      <c r="NE32" s="37">
        <v>26</v>
      </c>
      <c r="NF32" s="7">
        <v>535</v>
      </c>
      <c r="NJ32" s="34" t="s">
        <v>13</v>
      </c>
      <c r="NK32" s="37">
        <v>26</v>
      </c>
      <c r="NL32" s="7">
        <v>1944</v>
      </c>
      <c r="NP32" s="34" t="s">
        <v>6</v>
      </c>
      <c r="NQ32" s="37">
        <v>26</v>
      </c>
      <c r="NR32" s="7"/>
      <c r="NV32" s="36"/>
      <c r="NW32" s="34" t="s">
        <v>7</v>
      </c>
      <c r="NX32" s="37">
        <v>25</v>
      </c>
      <c r="NY32" s="7"/>
      <c r="OD32" s="34" t="s">
        <v>8</v>
      </c>
      <c r="OE32" s="37">
        <v>25</v>
      </c>
      <c r="OF32" s="7">
        <v>1076</v>
      </c>
      <c r="OJ32" s="34" t="s">
        <v>10</v>
      </c>
      <c r="OK32" s="37">
        <v>25</v>
      </c>
      <c r="OL32" s="7"/>
      <c r="OP32" s="34" t="s">
        <v>11</v>
      </c>
      <c r="OQ32" s="37">
        <v>25</v>
      </c>
      <c r="OV32" s="34" t="s">
        <v>8</v>
      </c>
      <c r="OW32" s="37">
        <v>25</v>
      </c>
      <c r="PB32" s="34" t="s">
        <v>12</v>
      </c>
      <c r="PC32" s="37">
        <v>25</v>
      </c>
      <c r="PH32" s="34" t="s">
        <v>13</v>
      </c>
      <c r="PI32" s="37">
        <v>25</v>
      </c>
      <c r="PN32" s="34" t="s">
        <v>6</v>
      </c>
      <c r="PO32" s="37">
        <v>25</v>
      </c>
    </row>
    <row r="33" spans="1:431" x14ac:dyDescent="0.3">
      <c r="A33" s="34" t="s">
        <v>120</v>
      </c>
      <c r="C33" s="7"/>
      <c r="H33" s="34">
        <v>31</v>
      </c>
      <c r="J33" s="7"/>
      <c r="N33" s="34"/>
      <c r="P33" s="7"/>
      <c r="U33" s="34" t="s">
        <v>121</v>
      </c>
      <c r="W33" s="7">
        <v>60</v>
      </c>
      <c r="X33" s="12"/>
      <c r="AB33" s="34" t="s">
        <v>122</v>
      </c>
      <c r="AD33" s="7">
        <v>55</v>
      </c>
      <c r="AI33" s="34" t="s">
        <v>118</v>
      </c>
      <c r="AK33" s="7"/>
      <c r="AO33" s="34" t="s">
        <v>122</v>
      </c>
      <c r="AQ33" s="7"/>
      <c r="AZ33" s="34" t="s">
        <v>12</v>
      </c>
      <c r="BA33" s="37">
        <v>31</v>
      </c>
      <c r="BB33" s="7">
        <v>285</v>
      </c>
      <c r="BF33" s="34" t="s">
        <v>13</v>
      </c>
      <c r="BG33" s="37">
        <v>31</v>
      </c>
      <c r="BH33" s="7">
        <v>150</v>
      </c>
      <c r="BL33" s="34" t="s">
        <v>10</v>
      </c>
      <c r="BM33" s="37">
        <v>31</v>
      </c>
      <c r="BN33" s="7"/>
      <c r="BR33" s="34" t="s">
        <v>13</v>
      </c>
      <c r="BS33" s="37">
        <v>31</v>
      </c>
      <c r="BT33" s="1">
        <v>240</v>
      </c>
      <c r="BZ33" s="7"/>
      <c r="CD33" s="34" t="s">
        <v>7</v>
      </c>
      <c r="CE33" s="37">
        <v>31</v>
      </c>
      <c r="CF33" s="7">
        <v>285</v>
      </c>
      <c r="CH33" s="7"/>
      <c r="CJ33" s="34" t="s">
        <v>8</v>
      </c>
      <c r="CK33" s="37">
        <v>31</v>
      </c>
      <c r="CL33" s="7">
        <v>2645</v>
      </c>
      <c r="CP33" s="7"/>
      <c r="CT33" s="34" t="s">
        <v>11</v>
      </c>
      <c r="CU33" s="37">
        <v>31</v>
      </c>
      <c r="CV33" s="7"/>
      <c r="DA33" s="34" t="s">
        <v>6</v>
      </c>
      <c r="DB33" s="37">
        <v>31</v>
      </c>
      <c r="DC33" s="1">
        <v>3213</v>
      </c>
      <c r="DI33" s="7"/>
      <c r="DL33" s="34" t="s">
        <v>13</v>
      </c>
      <c r="DM33" s="37">
        <v>31</v>
      </c>
      <c r="DN33" s="7">
        <v>1731</v>
      </c>
      <c r="DP33" s="7"/>
      <c r="DR33" s="34" t="s">
        <v>10</v>
      </c>
      <c r="DS33" s="37">
        <v>31</v>
      </c>
      <c r="DT33" s="7">
        <v>450</v>
      </c>
      <c r="DZ33" s="7"/>
      <c r="ED33" s="34" t="s">
        <v>8</v>
      </c>
      <c r="EE33" s="37">
        <v>31</v>
      </c>
      <c r="EF33" s="7"/>
      <c r="EK33" s="34" t="s">
        <v>7</v>
      </c>
      <c r="EL33" s="37">
        <v>31</v>
      </c>
      <c r="EM33" s="7">
        <v>600</v>
      </c>
      <c r="ES33" s="7"/>
      <c r="EW33" s="34" t="s">
        <v>10</v>
      </c>
      <c r="EX33" s="37">
        <v>31</v>
      </c>
      <c r="EY33" s="7">
        <v>250</v>
      </c>
      <c r="FA33" s="7"/>
      <c r="FD33" s="37"/>
      <c r="FE33" s="7"/>
      <c r="FI33" s="34" t="s">
        <v>8</v>
      </c>
      <c r="FJ33" s="37">
        <v>31</v>
      </c>
      <c r="FK33" s="7">
        <v>530</v>
      </c>
      <c r="FL33" s="10">
        <v>1731</v>
      </c>
      <c r="FO33" s="34" t="s">
        <v>12</v>
      </c>
      <c r="FP33" s="37">
        <v>31</v>
      </c>
      <c r="FQ33" s="7"/>
      <c r="FR33" s="12">
        <v>450</v>
      </c>
      <c r="FV33" s="37"/>
      <c r="FW33" s="7"/>
      <c r="GA33" s="34" t="s">
        <v>6</v>
      </c>
      <c r="GB33" s="37">
        <v>31</v>
      </c>
      <c r="GC33" s="7"/>
      <c r="GH33" s="34" t="s">
        <v>7</v>
      </c>
      <c r="GI33" s="37">
        <v>30</v>
      </c>
      <c r="GJ33" s="13"/>
      <c r="GN33" s="34" t="s">
        <v>8</v>
      </c>
      <c r="GO33" s="37">
        <v>30</v>
      </c>
      <c r="GP33" s="15">
        <v>500</v>
      </c>
      <c r="GT33" s="34" t="s">
        <v>10</v>
      </c>
      <c r="GU33" s="37">
        <v>30</v>
      </c>
      <c r="GV33" s="6"/>
      <c r="GW33" s="7"/>
      <c r="GX33" s="7"/>
      <c r="GZ33" s="34" t="s">
        <v>11</v>
      </c>
      <c r="HA33" s="37">
        <v>30</v>
      </c>
      <c r="HB33" s="15">
        <v>750</v>
      </c>
      <c r="HF33" s="34" t="s">
        <v>8</v>
      </c>
      <c r="HG33" s="37">
        <v>30</v>
      </c>
      <c r="HH33" s="15">
        <v>3090</v>
      </c>
      <c r="HI33" s="10"/>
      <c r="HL33" s="34" t="s">
        <v>12</v>
      </c>
      <c r="HM33" s="37">
        <v>30</v>
      </c>
      <c r="HN33" s="15">
        <v>350</v>
      </c>
      <c r="HO33" s="12"/>
      <c r="HR33" s="34" t="s">
        <v>13</v>
      </c>
      <c r="HS33" s="37">
        <v>30</v>
      </c>
      <c r="HT33" s="15"/>
      <c r="HU33" s="7"/>
      <c r="HX33" s="34" t="s">
        <v>6</v>
      </c>
      <c r="HY33" s="37">
        <v>30</v>
      </c>
      <c r="HZ33" s="15"/>
      <c r="IJ33" s="34" t="s">
        <v>8</v>
      </c>
      <c r="IK33" s="37">
        <v>29</v>
      </c>
      <c r="IL33" s="6">
        <v>240</v>
      </c>
      <c r="IP33" s="34" t="s">
        <v>10</v>
      </c>
      <c r="IQ33" s="37">
        <v>29</v>
      </c>
      <c r="IR33" s="6">
        <v>3054</v>
      </c>
      <c r="IV33" s="34" t="s">
        <v>11</v>
      </c>
      <c r="IW33" s="37">
        <v>29</v>
      </c>
      <c r="IX33" s="7">
        <v>1575</v>
      </c>
      <c r="JA33" s="37"/>
      <c r="JB33" s="34" t="s">
        <v>8</v>
      </c>
      <c r="JC33" s="37">
        <v>29</v>
      </c>
      <c r="JD33" s="7">
        <v>380</v>
      </c>
      <c r="JH33" s="34" t="s">
        <v>12</v>
      </c>
      <c r="JI33" s="37">
        <v>29</v>
      </c>
      <c r="JJ33" s="7">
        <v>310</v>
      </c>
      <c r="JN33" s="34" t="s">
        <v>13</v>
      </c>
      <c r="JO33" s="37">
        <v>29</v>
      </c>
      <c r="JP33" s="7"/>
      <c r="JT33" s="34" t="s">
        <v>6</v>
      </c>
      <c r="JU33" s="37">
        <v>29</v>
      </c>
      <c r="JV33" s="7"/>
      <c r="KA33" s="34" t="s">
        <v>13</v>
      </c>
      <c r="KB33" s="37">
        <v>29</v>
      </c>
      <c r="KC33" s="7"/>
      <c r="KH33" s="34" t="s">
        <v>10</v>
      </c>
      <c r="KI33" s="37">
        <v>29</v>
      </c>
      <c r="KJ33" s="7"/>
      <c r="KN33" s="34" t="s">
        <v>12</v>
      </c>
      <c r="KO33" s="37">
        <v>28</v>
      </c>
      <c r="KP33" s="7">
        <v>300</v>
      </c>
      <c r="KT33" s="34" t="s">
        <v>13</v>
      </c>
      <c r="KU33" s="37">
        <v>28</v>
      </c>
      <c r="KV33" s="7">
        <v>740</v>
      </c>
      <c r="KZ33" s="34" t="s">
        <v>6</v>
      </c>
      <c r="LA33" s="37">
        <v>28</v>
      </c>
      <c r="LB33" s="7">
        <v>2830</v>
      </c>
      <c r="LF33" s="34" t="s">
        <v>7</v>
      </c>
      <c r="LG33" s="37">
        <v>28</v>
      </c>
      <c r="LH33" s="7">
        <v>1540</v>
      </c>
      <c r="LL33" s="34" t="s">
        <v>8</v>
      </c>
      <c r="LM33" s="37">
        <v>28</v>
      </c>
      <c r="LN33" s="7"/>
      <c r="LR33" s="34" t="s">
        <v>10</v>
      </c>
      <c r="LS33" s="37">
        <v>28</v>
      </c>
      <c r="LT33" s="7"/>
      <c r="LX33" s="36"/>
      <c r="LY33" s="34" t="s">
        <v>11</v>
      </c>
      <c r="LZ33" s="37">
        <v>27</v>
      </c>
      <c r="MA33" s="7"/>
      <c r="MF33" s="34" t="s">
        <v>6</v>
      </c>
      <c r="MG33" s="37">
        <v>27</v>
      </c>
      <c r="MH33" s="7">
        <v>1076</v>
      </c>
      <c r="ML33" s="34" t="s">
        <v>12</v>
      </c>
      <c r="MM33" s="37">
        <v>27</v>
      </c>
      <c r="MN33" s="7"/>
      <c r="MR33" s="34" t="s">
        <v>13</v>
      </c>
      <c r="MS33" s="37">
        <v>27</v>
      </c>
      <c r="MT33" s="7">
        <v>620</v>
      </c>
      <c r="MV33" s="55"/>
      <c r="MX33" s="34" t="s">
        <v>6</v>
      </c>
      <c r="MY33" s="37">
        <v>27</v>
      </c>
      <c r="MZ33" s="7">
        <v>571</v>
      </c>
      <c r="ND33" s="34" t="s">
        <v>7</v>
      </c>
      <c r="NE33" s="37">
        <v>27</v>
      </c>
      <c r="NF33" s="7">
        <v>490</v>
      </c>
      <c r="NJ33" s="34" t="s">
        <v>8</v>
      </c>
      <c r="NK33" s="37">
        <v>27</v>
      </c>
      <c r="NL33" s="7"/>
      <c r="NP33" s="34" t="s">
        <v>10</v>
      </c>
      <c r="NQ33" s="37">
        <v>27</v>
      </c>
      <c r="NR33" s="7"/>
      <c r="NV33" s="36"/>
      <c r="NW33" s="34" t="s">
        <v>11</v>
      </c>
      <c r="NX33" s="37">
        <v>26</v>
      </c>
      <c r="NY33" s="7"/>
      <c r="OD33" s="34" t="s">
        <v>6</v>
      </c>
      <c r="OE33" s="37">
        <v>26</v>
      </c>
      <c r="OF33" s="7">
        <v>1833</v>
      </c>
      <c r="OJ33" s="34" t="s">
        <v>12</v>
      </c>
      <c r="OK33" s="37">
        <v>26</v>
      </c>
      <c r="OL33" s="7"/>
      <c r="OP33" s="34" t="s">
        <v>13</v>
      </c>
      <c r="OQ33" s="37">
        <v>26</v>
      </c>
      <c r="OV33" s="34" t="s">
        <v>6</v>
      </c>
      <c r="OW33" s="37">
        <v>26</v>
      </c>
      <c r="PB33" s="34" t="s">
        <v>7</v>
      </c>
      <c r="PC33" s="37">
        <v>26</v>
      </c>
      <c r="PH33" s="34" t="s">
        <v>8</v>
      </c>
      <c r="PI33" s="37">
        <v>26</v>
      </c>
      <c r="PN33" s="34" t="s">
        <v>10</v>
      </c>
      <c r="PO33" s="37">
        <v>26</v>
      </c>
    </row>
    <row r="34" spans="1:431" x14ac:dyDescent="0.3">
      <c r="C34" s="7"/>
      <c r="J34" s="7"/>
      <c r="N34" s="34"/>
      <c r="P34" s="7"/>
      <c r="W34" s="7"/>
      <c r="AD34" s="7"/>
      <c r="AI34" s="34"/>
      <c r="AK34" s="7"/>
      <c r="AQ34" s="7"/>
      <c r="BB34" s="7"/>
      <c r="BH34" s="7"/>
      <c r="BN34" s="7"/>
      <c r="BT34" s="1"/>
      <c r="BZ34" s="7"/>
      <c r="CF34" s="7"/>
      <c r="CH34" s="7"/>
      <c r="CL34" s="7"/>
      <c r="CP34" s="7"/>
      <c r="CV34" s="7"/>
      <c r="DC34" s="1"/>
      <c r="DI34" s="7"/>
      <c r="DN34" s="7"/>
      <c r="DP34" s="7"/>
      <c r="DT34" s="7"/>
      <c r="DZ34" s="7"/>
      <c r="EF34" s="7"/>
      <c r="EK34" s="34"/>
      <c r="EM34" s="1"/>
      <c r="ES34" s="7"/>
      <c r="EY34" s="7"/>
      <c r="FA34" s="7"/>
      <c r="FE34" s="7"/>
      <c r="FK34" s="7"/>
      <c r="FQ34" s="7"/>
      <c r="FW34" s="7"/>
      <c r="GC34" s="7"/>
      <c r="GH34" s="34" t="s">
        <v>11</v>
      </c>
      <c r="GI34" s="37">
        <v>31</v>
      </c>
      <c r="GJ34" s="13"/>
      <c r="GP34" s="15"/>
      <c r="GT34" s="34" t="s">
        <v>12</v>
      </c>
      <c r="GU34" s="37">
        <v>31</v>
      </c>
      <c r="GV34" s="6"/>
      <c r="GW34" s="7"/>
      <c r="GX34" s="7"/>
      <c r="HA34" s="37"/>
      <c r="HB34" s="15"/>
      <c r="HF34" s="34" t="s">
        <v>6</v>
      </c>
      <c r="HG34" s="37">
        <v>31</v>
      </c>
      <c r="HH34" s="15">
        <v>5508</v>
      </c>
      <c r="HI34" s="10"/>
      <c r="HL34" s="34" t="s">
        <v>7</v>
      </c>
      <c r="HM34" s="37">
        <v>31</v>
      </c>
      <c r="HN34" s="15">
        <v>650</v>
      </c>
      <c r="HO34" s="12"/>
      <c r="HS34" s="37"/>
      <c r="HT34" s="15"/>
      <c r="HX34" s="34" t="s">
        <v>10</v>
      </c>
      <c r="HY34" s="37">
        <v>31</v>
      </c>
      <c r="HZ34" s="15"/>
      <c r="IJ34" s="34" t="s">
        <v>6</v>
      </c>
      <c r="IK34" s="37">
        <v>30</v>
      </c>
      <c r="IL34" s="6">
        <v>380</v>
      </c>
      <c r="IP34" s="34" t="s">
        <v>12</v>
      </c>
      <c r="IQ34" s="37">
        <v>30</v>
      </c>
      <c r="IR34" s="6"/>
      <c r="IV34" s="34" t="s">
        <v>13</v>
      </c>
      <c r="IW34" s="37">
        <v>30</v>
      </c>
      <c r="IX34" s="7">
        <v>210</v>
      </c>
      <c r="JA34" s="37"/>
      <c r="JB34" s="34" t="s">
        <v>6</v>
      </c>
      <c r="JC34" s="37">
        <v>30</v>
      </c>
      <c r="JD34" s="7">
        <v>1420</v>
      </c>
      <c r="JH34" s="34" t="s">
        <v>7</v>
      </c>
      <c r="JI34" s="37">
        <v>30</v>
      </c>
      <c r="JJ34" s="7">
        <v>410</v>
      </c>
      <c r="JN34" s="34" t="s">
        <v>8</v>
      </c>
      <c r="JO34" s="37">
        <v>30</v>
      </c>
      <c r="JP34" s="7">
        <v>625</v>
      </c>
      <c r="JT34" s="34" t="s">
        <v>10</v>
      </c>
      <c r="JU34" s="37">
        <v>30</v>
      </c>
      <c r="JV34" s="7"/>
      <c r="KA34" s="34" t="s">
        <v>8</v>
      </c>
      <c r="KB34" s="37">
        <v>30</v>
      </c>
      <c r="KC34" s="7"/>
      <c r="KH34" s="34" t="s">
        <v>12</v>
      </c>
      <c r="KI34" s="37">
        <v>30</v>
      </c>
      <c r="KJ34" s="7"/>
      <c r="KN34" s="34" t="s">
        <v>7</v>
      </c>
      <c r="KO34" s="37">
        <v>29</v>
      </c>
      <c r="KP34" s="7"/>
      <c r="KT34" s="34" t="s">
        <v>8</v>
      </c>
      <c r="KU34" s="37">
        <v>29</v>
      </c>
      <c r="KV34" s="7">
        <v>1250</v>
      </c>
      <c r="KW34" s="19" t="s">
        <v>123</v>
      </c>
      <c r="KZ34" s="34" t="s">
        <v>10</v>
      </c>
      <c r="LA34" s="37">
        <v>29</v>
      </c>
      <c r="LB34" s="7">
        <v>930</v>
      </c>
      <c r="LF34" s="34" t="s">
        <v>11</v>
      </c>
      <c r="LG34" s="37">
        <v>29</v>
      </c>
      <c r="LH34" s="7">
        <v>670</v>
      </c>
      <c r="LL34" s="34" t="s">
        <v>6</v>
      </c>
      <c r="LM34" s="37">
        <v>29</v>
      </c>
      <c r="LN34" s="7"/>
      <c r="LR34" s="34" t="s">
        <v>12</v>
      </c>
      <c r="LS34" s="37">
        <v>29</v>
      </c>
      <c r="LT34" s="7"/>
      <c r="LX34" s="36"/>
      <c r="LY34" s="34" t="s">
        <v>13</v>
      </c>
      <c r="LZ34" s="37">
        <v>28</v>
      </c>
      <c r="MA34" s="7"/>
      <c r="MF34" s="34" t="s">
        <v>10</v>
      </c>
      <c r="MG34" s="37">
        <v>28</v>
      </c>
      <c r="MH34" s="7"/>
      <c r="ML34" s="34" t="s">
        <v>7</v>
      </c>
      <c r="MM34" s="37">
        <v>28</v>
      </c>
      <c r="MN34" s="7"/>
      <c r="MR34" s="34" t="s">
        <v>8</v>
      </c>
      <c r="MS34" s="37">
        <v>28</v>
      </c>
      <c r="MT34" s="7">
        <v>4503</v>
      </c>
      <c r="MX34" s="34" t="s">
        <v>10</v>
      </c>
      <c r="MY34" s="37">
        <v>28</v>
      </c>
      <c r="MZ34" s="7">
        <v>350</v>
      </c>
      <c r="ND34" s="34" t="s">
        <v>11</v>
      </c>
      <c r="NE34" s="37">
        <v>28</v>
      </c>
      <c r="NF34" s="7">
        <v>414</v>
      </c>
      <c r="NJ34" s="34" t="s">
        <v>6</v>
      </c>
      <c r="NK34" s="37">
        <v>28</v>
      </c>
      <c r="NL34" s="7">
        <v>830</v>
      </c>
      <c r="NP34" s="34" t="s">
        <v>12</v>
      </c>
      <c r="NQ34" s="37">
        <v>28</v>
      </c>
      <c r="NR34" s="7"/>
      <c r="NV34" s="36"/>
      <c r="NW34" s="34" t="s">
        <v>13</v>
      </c>
      <c r="NX34" s="37">
        <v>27</v>
      </c>
      <c r="NY34" s="7"/>
      <c r="OD34" s="34" t="s">
        <v>10</v>
      </c>
      <c r="OE34" s="37">
        <v>27</v>
      </c>
      <c r="OF34" s="7"/>
      <c r="OJ34" s="34" t="s">
        <v>7</v>
      </c>
      <c r="OK34" s="37">
        <v>27</v>
      </c>
      <c r="OL34" s="7"/>
      <c r="OP34" s="34" t="s">
        <v>8</v>
      </c>
      <c r="OQ34" s="37">
        <v>27</v>
      </c>
      <c r="OV34" s="34" t="s">
        <v>10</v>
      </c>
      <c r="OW34" s="37">
        <v>27</v>
      </c>
      <c r="PB34" s="34" t="s">
        <v>11</v>
      </c>
      <c r="PC34" s="37">
        <v>27</v>
      </c>
      <c r="PH34" s="34" t="s">
        <v>6</v>
      </c>
      <c r="PI34" s="37">
        <v>27</v>
      </c>
      <c r="PN34" s="34" t="s">
        <v>12</v>
      </c>
      <c r="PO34" s="37">
        <v>27</v>
      </c>
    </row>
    <row r="35" spans="1:431" x14ac:dyDescent="0.3">
      <c r="C35" s="7">
        <f>SUM(C12:C34)</f>
        <v>2245</v>
      </c>
      <c r="J35" s="7">
        <f>SUM(J3:J34)</f>
        <v>0</v>
      </c>
      <c r="N35" s="34"/>
      <c r="P35" s="7">
        <f>SUM(P3:P34)</f>
        <v>4446</v>
      </c>
      <c r="W35" s="7">
        <f>SUM(W3:W34)</f>
        <v>5810</v>
      </c>
      <c r="AD35" s="7">
        <f>SUM(AD3:AD34)</f>
        <v>6210</v>
      </c>
      <c r="AF35" s="19">
        <f>SUM(AF4:AF34)</f>
        <v>0</v>
      </c>
      <c r="AK35" s="7">
        <f>SUM(AK3:AK34)</f>
        <v>2610</v>
      </c>
      <c r="AQ35" s="7">
        <f>SUM(AQ3:AQ34)</f>
        <v>5170</v>
      </c>
      <c r="AV35" s="7">
        <f>SUM(AV3:AV34)</f>
        <v>4170</v>
      </c>
      <c r="BB35" s="7">
        <f>SUM(BB3:BB34)</f>
        <v>11854</v>
      </c>
      <c r="BH35" s="7">
        <f>SUM(BH3:BH33)</f>
        <v>13353</v>
      </c>
      <c r="BN35" s="7">
        <f>SUM(BN3:BN34)</f>
        <v>5122</v>
      </c>
      <c r="BT35" s="7">
        <f>SUM(BT3:BT34)</f>
        <v>967</v>
      </c>
      <c r="BZ35" s="7">
        <f>SUM(BZ3:BZ34)</f>
        <v>13641</v>
      </c>
      <c r="CF35" s="7">
        <f>SUM(CF3:CF34)</f>
        <v>19146</v>
      </c>
      <c r="CH35" s="1">
        <f>SUM(CH10:CH34)</f>
        <v>0</v>
      </c>
      <c r="CL35" s="7">
        <f>SUM(CL3:CL34)</f>
        <v>17499</v>
      </c>
      <c r="CP35" s="7">
        <f>SUM(CP3:CP34)</f>
        <v>8440</v>
      </c>
      <c r="CV35" s="7">
        <f>SUM(CV3:CV34)</f>
        <v>0</v>
      </c>
      <c r="DC35" s="7">
        <f>SUM(DC3:DC34)</f>
        <v>5463</v>
      </c>
      <c r="DI35" s="7">
        <f>SUM(DI3:DI34)</f>
        <v>22545</v>
      </c>
      <c r="DN35" s="7">
        <f>SUM(DN3:DN34)</f>
        <v>35960</v>
      </c>
      <c r="DP35" s="1"/>
      <c r="DT35" s="7">
        <f>SUM(DT3:DT34)</f>
        <v>34956</v>
      </c>
      <c r="DZ35" s="7">
        <f>SUM(DZ3:DZ34)</f>
        <v>18474.5</v>
      </c>
      <c r="EA35" s="19">
        <f>SUM(EA3:EA34)</f>
        <v>0</v>
      </c>
      <c r="EF35" s="7">
        <f>SUM(EF3:EF34)</f>
        <v>0</v>
      </c>
      <c r="EK35" s="34"/>
      <c r="EM35" s="7">
        <f>SUM(EM3:EM34)</f>
        <v>600</v>
      </c>
      <c r="ES35" s="7">
        <f>SUM(ES3:ES34)</f>
        <v>8089</v>
      </c>
      <c r="EY35" s="7">
        <f>SUM(EY3:EY34)</f>
        <v>8530</v>
      </c>
      <c r="FA35" s="1"/>
      <c r="FE35" s="7">
        <f>SUM(FE3:FE34)</f>
        <v>16555</v>
      </c>
      <c r="FK35" s="7">
        <f>SUM(FK3:FK34)</f>
        <v>11789</v>
      </c>
      <c r="FQ35" s="7">
        <f>SUM(FQ3:FQ34)</f>
        <v>15109</v>
      </c>
      <c r="FW35" s="7">
        <f>SUM(FW3:FW34)</f>
        <v>14023</v>
      </c>
      <c r="GC35" s="7">
        <f>SUM(GC3:GC34)</f>
        <v>2640</v>
      </c>
      <c r="GH35" s="34"/>
      <c r="GJ35" s="13"/>
      <c r="GP35" s="15"/>
      <c r="GV35" s="6"/>
      <c r="GW35" s="7"/>
      <c r="GX35" s="7"/>
      <c r="HB35" s="15"/>
      <c r="HH35" s="15"/>
      <c r="HN35" s="15"/>
      <c r="HT35" s="15"/>
      <c r="HZ35" s="15"/>
      <c r="IJ35" s="34"/>
      <c r="IK35" s="37"/>
      <c r="IL35" s="6"/>
      <c r="IP35" s="34" t="s">
        <v>7</v>
      </c>
      <c r="IQ35" s="37">
        <v>31</v>
      </c>
      <c r="IR35" s="6">
        <v>680</v>
      </c>
      <c r="IW35" s="37"/>
      <c r="IX35" s="7"/>
      <c r="JA35" s="37"/>
      <c r="JB35" s="34" t="s">
        <v>10</v>
      </c>
      <c r="JC35" s="37">
        <v>31</v>
      </c>
      <c r="JD35" s="7"/>
      <c r="JH35" s="34" t="s">
        <v>11</v>
      </c>
      <c r="JI35" s="37">
        <v>31</v>
      </c>
      <c r="JJ35" s="7"/>
      <c r="JO35" s="37"/>
      <c r="JP35" s="7"/>
      <c r="JT35" s="34" t="s">
        <v>12</v>
      </c>
      <c r="JU35" s="37">
        <v>31</v>
      </c>
      <c r="JV35" s="7"/>
      <c r="KA35" s="34" t="s">
        <v>6</v>
      </c>
      <c r="KB35" s="37">
        <v>31</v>
      </c>
      <c r="KC35" s="7"/>
      <c r="KJ35" s="7"/>
      <c r="KN35" s="34" t="s">
        <v>11</v>
      </c>
      <c r="KO35" s="37">
        <v>30</v>
      </c>
      <c r="KP35" s="7"/>
      <c r="KT35" s="34" t="s">
        <v>6</v>
      </c>
      <c r="KU35" s="37">
        <v>30</v>
      </c>
      <c r="KV35" s="7">
        <v>690</v>
      </c>
      <c r="KZ35" s="34" t="s">
        <v>12</v>
      </c>
      <c r="LA35" s="37">
        <v>30</v>
      </c>
      <c r="LB35" s="7">
        <v>1620</v>
      </c>
      <c r="LF35" s="34" t="s">
        <v>13</v>
      </c>
      <c r="LG35" s="37">
        <v>30</v>
      </c>
      <c r="LH35" s="7"/>
      <c r="LL35" s="34" t="s">
        <v>10</v>
      </c>
      <c r="LM35" s="37">
        <v>30</v>
      </c>
      <c r="LN35" s="7"/>
      <c r="LR35" s="34" t="s">
        <v>7</v>
      </c>
      <c r="LS35" s="37">
        <v>30</v>
      </c>
      <c r="LT35" s="7"/>
      <c r="LX35" s="36"/>
      <c r="LY35" s="34" t="s">
        <v>8</v>
      </c>
      <c r="LZ35" s="37">
        <v>29</v>
      </c>
      <c r="MA35" s="7"/>
      <c r="MF35" s="34" t="s">
        <v>12</v>
      </c>
      <c r="MG35" s="37">
        <v>29</v>
      </c>
      <c r="MH35" s="7"/>
      <c r="ML35" s="34" t="s">
        <v>11</v>
      </c>
      <c r="MM35" s="37">
        <v>29</v>
      </c>
      <c r="MN35" s="7">
        <v>1960</v>
      </c>
      <c r="MR35" s="34" t="s">
        <v>6</v>
      </c>
      <c r="MS35" s="37">
        <v>29</v>
      </c>
      <c r="MT35" s="7">
        <v>7318</v>
      </c>
      <c r="MX35" s="34" t="s">
        <v>12</v>
      </c>
      <c r="MY35" s="37">
        <v>29</v>
      </c>
      <c r="MZ35" s="7">
        <v>225</v>
      </c>
      <c r="ND35" s="34" t="s">
        <v>13</v>
      </c>
      <c r="NE35" s="37">
        <v>29</v>
      </c>
      <c r="NF35" s="7"/>
      <c r="NJ35" s="34" t="s">
        <v>10</v>
      </c>
      <c r="NK35" s="37">
        <v>29</v>
      </c>
      <c r="NL35" s="7"/>
      <c r="NP35" s="34" t="s">
        <v>7</v>
      </c>
      <c r="NQ35" s="37">
        <v>29</v>
      </c>
      <c r="NR35" s="7"/>
      <c r="NV35" s="36"/>
      <c r="NW35" s="34" t="s">
        <v>8</v>
      </c>
      <c r="NX35" s="37">
        <v>28</v>
      </c>
      <c r="NY35" s="7">
        <v>54</v>
      </c>
      <c r="OD35" s="34" t="s">
        <v>12</v>
      </c>
      <c r="OE35" s="37">
        <v>28</v>
      </c>
      <c r="OF35" s="7">
        <v>651</v>
      </c>
      <c r="OJ35" s="34" t="s">
        <v>11</v>
      </c>
      <c r="OK35" s="37">
        <v>28</v>
      </c>
      <c r="OL35" s="7">
        <v>250</v>
      </c>
      <c r="OP35" s="34" t="s">
        <v>6</v>
      </c>
      <c r="OQ35" s="37">
        <v>28</v>
      </c>
      <c r="OV35" s="34" t="s">
        <v>12</v>
      </c>
      <c r="OW35" s="37">
        <v>28</v>
      </c>
      <c r="PB35" s="34" t="s">
        <v>13</v>
      </c>
      <c r="PC35" s="37">
        <v>28</v>
      </c>
      <c r="PH35" s="34" t="s">
        <v>10</v>
      </c>
      <c r="PI35" s="37">
        <v>28</v>
      </c>
      <c r="PN35" s="34" t="s">
        <v>7</v>
      </c>
      <c r="PO35" s="37">
        <v>28</v>
      </c>
    </row>
    <row r="36" spans="1:431" x14ac:dyDescent="0.3">
      <c r="AQ36" s="7"/>
      <c r="BH36" s="7"/>
      <c r="EK36" s="34"/>
      <c r="GH36" s="34"/>
      <c r="GJ36" s="13">
        <f>SUM(GJ4:GJ35)</f>
        <v>1660</v>
      </c>
      <c r="GP36" s="15">
        <f>SUM(GP4:GP35)</f>
        <v>5423</v>
      </c>
      <c r="GV36" s="6">
        <f>SUM(GV4:GV35)</f>
        <v>15717</v>
      </c>
      <c r="GW36" s="7"/>
      <c r="GX36" s="1"/>
      <c r="HB36" s="15">
        <f>SUM(HB4:HB35)</f>
        <v>23065</v>
      </c>
      <c r="HH36" s="15">
        <f>SUM(HH4:HH35)</f>
        <v>60860</v>
      </c>
      <c r="HN36" s="15">
        <f>SUM(HN4:HN35)</f>
        <v>37259</v>
      </c>
      <c r="HT36" s="15">
        <f>SUM(HT4:HT35)</f>
        <v>14640</v>
      </c>
      <c r="HZ36" s="15">
        <f>SUM(HZ4:HZ35)</f>
        <v>2340</v>
      </c>
      <c r="IL36" s="6"/>
      <c r="IR36" s="6"/>
      <c r="IX36" s="7"/>
      <c r="JD36" s="7"/>
      <c r="JJ36" s="7"/>
      <c r="JP36" s="7"/>
      <c r="JV36" s="7"/>
      <c r="KC36" s="7"/>
      <c r="KJ36" s="7"/>
      <c r="KN36" s="34" t="s">
        <v>13</v>
      </c>
      <c r="KO36" s="37">
        <v>31</v>
      </c>
      <c r="KP36" s="7"/>
      <c r="KV36" s="7"/>
      <c r="KZ36" s="34" t="s">
        <v>7</v>
      </c>
      <c r="LA36" s="37">
        <v>31</v>
      </c>
      <c r="LB36" s="7">
        <v>410</v>
      </c>
      <c r="LF36" s="34" t="s">
        <v>8</v>
      </c>
      <c r="LG36" s="37">
        <v>31</v>
      </c>
      <c r="LH36" s="7">
        <v>1100</v>
      </c>
      <c r="LN36" s="7"/>
      <c r="LR36" s="34" t="s">
        <v>11</v>
      </c>
      <c r="LS36" s="37">
        <v>31</v>
      </c>
      <c r="LT36" s="7"/>
      <c r="LX36" s="36"/>
      <c r="LY36" s="34" t="s">
        <v>6</v>
      </c>
      <c r="LZ36" s="37">
        <v>30</v>
      </c>
      <c r="MA36" s="7">
        <v>220</v>
      </c>
      <c r="MF36" s="34" t="s">
        <v>7</v>
      </c>
      <c r="MG36" s="37">
        <v>30</v>
      </c>
      <c r="MH36" s="7">
        <v>384</v>
      </c>
      <c r="ML36" s="34" t="s">
        <v>13</v>
      </c>
      <c r="MM36" s="37">
        <v>30</v>
      </c>
      <c r="MN36" s="7">
        <v>3440</v>
      </c>
      <c r="MR36" s="34" t="s">
        <v>10</v>
      </c>
      <c r="MS36" s="37">
        <v>30</v>
      </c>
      <c r="MT36" s="7">
        <v>1297</v>
      </c>
      <c r="MX36" s="34" t="s">
        <v>7</v>
      </c>
      <c r="MY36" s="37">
        <v>30</v>
      </c>
      <c r="MZ36" s="7">
        <v>438</v>
      </c>
      <c r="ND36" s="34" t="s">
        <v>8</v>
      </c>
      <c r="NE36" s="37">
        <v>30</v>
      </c>
      <c r="NF36" s="7">
        <v>459</v>
      </c>
      <c r="NJ36" s="34" t="s">
        <v>12</v>
      </c>
      <c r="NK36" s="37">
        <v>30</v>
      </c>
      <c r="NL36" s="7"/>
      <c r="NP36" s="34" t="s">
        <v>11</v>
      </c>
      <c r="NQ36" s="37">
        <v>30</v>
      </c>
      <c r="NR36" s="7"/>
      <c r="NV36" s="36"/>
      <c r="NW36" s="34" t="s">
        <v>6</v>
      </c>
      <c r="NX36" s="37">
        <v>29</v>
      </c>
      <c r="NY36" s="7">
        <v>597</v>
      </c>
      <c r="OD36" s="34" t="s">
        <v>7</v>
      </c>
      <c r="OE36" s="37">
        <v>29</v>
      </c>
      <c r="OF36" s="7">
        <v>377</v>
      </c>
      <c r="OJ36" s="34" t="s">
        <v>13</v>
      </c>
      <c r="OK36" s="37">
        <v>29</v>
      </c>
      <c r="OL36" s="7">
        <v>255</v>
      </c>
      <c r="OP36" s="34" t="s">
        <v>10</v>
      </c>
      <c r="OQ36" s="37">
        <v>29</v>
      </c>
      <c r="OV36" s="34" t="s">
        <v>7</v>
      </c>
      <c r="OW36" s="37">
        <v>29</v>
      </c>
      <c r="PB36" s="34" t="s">
        <v>8</v>
      </c>
      <c r="PC36" s="37">
        <v>29</v>
      </c>
      <c r="PH36" s="34" t="s">
        <v>12</v>
      </c>
      <c r="PI36" s="37">
        <v>29</v>
      </c>
      <c r="PN36" s="34" t="s">
        <v>11</v>
      </c>
      <c r="PO36" s="37">
        <v>29</v>
      </c>
    </row>
    <row r="37" spans="1:431" x14ac:dyDescent="0.3">
      <c r="P37" s="41"/>
      <c r="U37" s="29"/>
      <c r="V37" s="30"/>
      <c r="W37" s="7"/>
      <c r="BH37" s="7"/>
      <c r="GH37" s="34"/>
      <c r="GV37" s="7"/>
      <c r="IL37" s="6">
        <f>SUM(IL5:IL36)</f>
        <v>1925</v>
      </c>
      <c r="IR37" s="6">
        <f>SUM(IR5:IR36)</f>
        <v>14674</v>
      </c>
      <c r="IX37" s="7">
        <f>SUM(IX5:IX36)</f>
        <v>30791</v>
      </c>
      <c r="JD37" s="7">
        <f>SUM(JD5:JD36)</f>
        <v>27582</v>
      </c>
      <c r="JJ37" s="7">
        <f>SUM(JJ5:JJ36)</f>
        <v>22948</v>
      </c>
      <c r="JP37" s="7">
        <f>SUM(JP5:JP36)</f>
        <v>33945</v>
      </c>
      <c r="JV37" s="7">
        <f>SUM(JV5:JV36)</f>
        <v>6170</v>
      </c>
      <c r="KC37" s="7"/>
      <c r="KP37" s="7"/>
      <c r="KV37" s="7"/>
      <c r="LB37" s="7"/>
      <c r="LH37" s="7"/>
      <c r="LN37" s="7"/>
      <c r="LT37" s="7"/>
      <c r="LX37" s="36"/>
      <c r="LY37" s="34" t="s">
        <v>10</v>
      </c>
      <c r="LZ37" s="37">
        <v>31</v>
      </c>
      <c r="MA37" s="7">
        <v>699</v>
      </c>
      <c r="MF37" s="34"/>
      <c r="MH37" s="7"/>
      <c r="ML37" s="34" t="s">
        <v>8</v>
      </c>
      <c r="MM37" s="37">
        <v>31</v>
      </c>
      <c r="MN37" s="7">
        <v>1283</v>
      </c>
      <c r="MT37" s="7"/>
      <c r="MX37" s="34" t="s">
        <v>11</v>
      </c>
      <c r="MY37" s="37">
        <v>31</v>
      </c>
      <c r="MZ37" s="7">
        <v>333</v>
      </c>
      <c r="ND37" s="34" t="s">
        <v>6</v>
      </c>
      <c r="NE37" s="37">
        <v>31</v>
      </c>
      <c r="NF37" s="7"/>
      <c r="NL37" s="7"/>
      <c r="NP37" s="34" t="s">
        <v>13</v>
      </c>
      <c r="NQ37" s="37">
        <v>31</v>
      </c>
      <c r="NR37" s="7"/>
      <c r="NV37" s="36"/>
      <c r="NW37" s="34" t="s">
        <v>10</v>
      </c>
      <c r="NX37" s="37">
        <v>30</v>
      </c>
      <c r="NY37" s="7"/>
      <c r="OD37" s="34" t="s">
        <v>11</v>
      </c>
      <c r="OE37" s="37">
        <v>30</v>
      </c>
      <c r="OF37" s="7">
        <v>403</v>
      </c>
      <c r="OJ37" s="34" t="s">
        <v>8</v>
      </c>
      <c r="OK37" s="37">
        <v>30</v>
      </c>
      <c r="OL37" s="7">
        <v>4419</v>
      </c>
      <c r="OP37" s="34" t="s">
        <v>12</v>
      </c>
      <c r="OQ37" s="37">
        <v>30</v>
      </c>
      <c r="OV37" s="34" t="s">
        <v>11</v>
      </c>
      <c r="OW37" s="37">
        <v>30</v>
      </c>
      <c r="PB37" s="34" t="s">
        <v>6</v>
      </c>
      <c r="PC37" s="37">
        <v>30</v>
      </c>
      <c r="PH37" s="34" t="s">
        <v>7</v>
      </c>
      <c r="PI37" s="37">
        <v>30</v>
      </c>
      <c r="PN37" s="34" t="s">
        <v>13</v>
      </c>
      <c r="PO37" s="37">
        <v>30</v>
      </c>
    </row>
    <row r="38" spans="1:431" x14ac:dyDescent="0.3">
      <c r="P38" s="41"/>
      <c r="U38" s="29"/>
      <c r="V38" s="30"/>
      <c r="BH38" s="7"/>
      <c r="GV38" s="7"/>
      <c r="IR38" s="16"/>
      <c r="IX38" s="7"/>
      <c r="JJ38" s="7"/>
      <c r="JV38" s="7"/>
      <c r="KJ38" s="7">
        <f>SUM(KJ5:KJ36)</f>
        <v>1735</v>
      </c>
      <c r="KP38" s="7">
        <f>SUM(KP6:KP37)</f>
        <v>6156</v>
      </c>
      <c r="KV38" s="7">
        <f>SUM(KV6:KV37)</f>
        <v>13192.5</v>
      </c>
      <c r="LB38" s="7">
        <f>SUM(LB6:LB37)</f>
        <v>24200.5</v>
      </c>
      <c r="LH38" s="7">
        <f>SUM(LH6:LH37)</f>
        <v>34257</v>
      </c>
      <c r="LN38" s="7">
        <f>SUM(LN6:LN37)</f>
        <v>11915</v>
      </c>
      <c r="LT38" s="7">
        <f>SUM(LT6:LT37)</f>
        <v>2420</v>
      </c>
      <c r="LX38" s="36"/>
      <c r="MA38" s="7"/>
      <c r="MN38" s="7"/>
      <c r="MT38" s="7"/>
      <c r="MZ38" s="7"/>
      <c r="NF38" s="7"/>
      <c r="NL38" s="7"/>
      <c r="NR38" s="7"/>
      <c r="NV38" s="36"/>
      <c r="NW38" s="34" t="s">
        <v>12</v>
      </c>
      <c r="NX38" s="37">
        <v>31</v>
      </c>
      <c r="NY38" s="7"/>
      <c r="OF38" s="7"/>
      <c r="OJ38" s="34" t="s">
        <v>6</v>
      </c>
      <c r="OK38" s="37">
        <v>31</v>
      </c>
      <c r="OL38" s="7"/>
      <c r="OV38" s="34" t="s">
        <v>13</v>
      </c>
      <c r="OW38" s="37">
        <v>31</v>
      </c>
      <c r="PB38" s="34" t="s">
        <v>10</v>
      </c>
      <c r="PC38" s="37">
        <v>31</v>
      </c>
      <c r="PN38" s="34" t="s">
        <v>8</v>
      </c>
      <c r="PO38" s="37">
        <v>31</v>
      </c>
    </row>
    <row r="39" spans="1:431" ht="27" thickBot="1" x14ac:dyDescent="0.35">
      <c r="P39" s="23"/>
      <c r="U39" s="29"/>
      <c r="V39" s="24"/>
      <c r="BH39" s="7"/>
      <c r="LB39" s="7"/>
      <c r="LX39" s="36"/>
      <c r="MA39" s="7">
        <f>SUM(MA7:MA38)</f>
        <v>919</v>
      </c>
      <c r="MH39" s="53">
        <f>SUM(MH7:MH38)</f>
        <v>6569</v>
      </c>
      <c r="MN39" s="7">
        <f>SUM(MN7:MN38)</f>
        <v>22858</v>
      </c>
      <c r="MT39" s="7">
        <f>SUM(MT7:MT38)</f>
        <v>41146</v>
      </c>
      <c r="MZ39" s="7">
        <f>SUM(MZ7:MZ38)</f>
        <v>41009</v>
      </c>
      <c r="NF39" s="7">
        <f>SUM(NF7:NF38)</f>
        <v>44699</v>
      </c>
      <c r="NL39" s="7">
        <f>SUM(NL7:NL38)</f>
        <v>13851.5</v>
      </c>
      <c r="NR39" s="7">
        <f>SUM(NR7:NR38)</f>
        <v>1728</v>
      </c>
      <c r="NV39" s="36"/>
      <c r="NY39" s="7"/>
      <c r="OF39" s="7"/>
      <c r="OL39" s="7"/>
    </row>
    <row r="40" spans="1:431" ht="27" thickBot="1" x14ac:dyDescent="0.35">
      <c r="N40" s="42"/>
      <c r="O40" s="43"/>
      <c r="P40" s="31"/>
      <c r="U40" s="29"/>
      <c r="V40" s="24"/>
      <c r="AO40" s="42" t="s">
        <v>124</v>
      </c>
      <c r="AP40" s="44"/>
      <c r="AQ40" s="31">
        <f>AQ35+AV35+BB35+BH35+BN35</f>
        <v>39669</v>
      </c>
      <c r="BH40" s="7"/>
      <c r="BR40" s="42" t="s">
        <v>124</v>
      </c>
      <c r="BS40" s="44"/>
      <c r="BT40" s="32">
        <f>BT35+BZ35+CF35+CL35+CP35+CV35</f>
        <v>59693</v>
      </c>
      <c r="DA40" s="42"/>
      <c r="DB40" s="44"/>
      <c r="DC40" s="32"/>
      <c r="EK40" s="42" t="s">
        <v>124</v>
      </c>
      <c r="EL40" s="44"/>
      <c r="EM40" s="32">
        <f>EM35+ES35+EY35+FE35+FK35+FQ35</f>
        <v>60672</v>
      </c>
      <c r="LX40" s="36"/>
      <c r="MH40" s="4"/>
      <c r="MZ40" s="7"/>
      <c r="NV40" s="36"/>
      <c r="NY40" s="7">
        <f>SUM(NY8:NY39)</f>
        <v>2500</v>
      </c>
      <c r="OF40" s="53">
        <f>SUM(OF8:OF39)</f>
        <v>7924</v>
      </c>
      <c r="OL40" s="7">
        <f>SUM(OL8:OL39)</f>
        <v>13887</v>
      </c>
    </row>
    <row r="41" spans="1:431" ht="27" thickBot="1" x14ac:dyDescent="0.35">
      <c r="P41" s="23"/>
      <c r="BH41" s="7"/>
      <c r="GH41" s="42" t="s">
        <v>124</v>
      </c>
      <c r="GI41" s="44"/>
      <c r="GJ41" s="32">
        <f>GJ36+GP36+GV36+HB36+HH36+HN36+HT36+HZ36</f>
        <v>160964</v>
      </c>
      <c r="IJ41" s="42"/>
      <c r="IK41" s="44"/>
      <c r="IL41" s="32"/>
      <c r="KA41" s="42" t="s">
        <v>124</v>
      </c>
      <c r="KB41" s="44"/>
      <c r="KC41" s="49">
        <f>KJ38+KP38+KV38+LB38+LH38+LN38+LT38</f>
        <v>93876</v>
      </c>
      <c r="LX41" s="36"/>
      <c r="NV41" s="36"/>
      <c r="OF41" s="7"/>
    </row>
    <row r="42" spans="1:431" ht="27" thickBot="1" x14ac:dyDescent="0.35">
      <c r="BH42" s="7"/>
      <c r="EQ42" s="34"/>
      <c r="IK42" s="14"/>
      <c r="IL42" s="23"/>
      <c r="LX42" s="36"/>
      <c r="LY42" s="42" t="s">
        <v>124</v>
      </c>
      <c r="LZ42" s="44"/>
      <c r="MA42" s="49">
        <f>MA39+MH39+MN39+MT39+MZ39+NF39+NL39+NR39</f>
        <v>172779.5</v>
      </c>
      <c r="NV42" s="36"/>
      <c r="OF42" s="7"/>
    </row>
    <row r="43" spans="1:431" ht="27" thickBot="1" x14ac:dyDescent="0.35">
      <c r="BH43" s="7"/>
      <c r="GN43" s="34"/>
      <c r="LX43" s="36"/>
      <c r="NV43" s="36"/>
      <c r="NW43" s="42" t="s">
        <v>124</v>
      </c>
      <c r="NX43" s="44"/>
      <c r="NY43" s="31">
        <f>NY40+OF40+OL40+OR40+OX40+PD40+PJ40+PP40</f>
        <v>24311</v>
      </c>
    </row>
    <row r="44" spans="1:431" x14ac:dyDescent="0.3">
      <c r="BH44" s="7"/>
      <c r="BS44" s="45"/>
      <c r="BT44" s="1"/>
      <c r="DB44" s="45"/>
      <c r="DC44" s="1"/>
      <c r="EL44" s="45"/>
      <c r="EM44" s="1"/>
      <c r="LX44" s="36"/>
      <c r="NV44" s="36"/>
    </row>
    <row r="45" spans="1:431" x14ac:dyDescent="0.3">
      <c r="BH45" s="7"/>
      <c r="BS45" s="46"/>
      <c r="BT45" s="1"/>
      <c r="DB45" s="46"/>
      <c r="DC45" s="1"/>
      <c r="EL45" s="46"/>
      <c r="EM45" s="1"/>
      <c r="GI45" s="45"/>
      <c r="GJ45" s="1"/>
      <c r="IK45" s="45"/>
      <c r="IL45" s="1"/>
      <c r="LX45" s="36"/>
      <c r="NV45" s="36"/>
    </row>
    <row r="46" spans="1:431" x14ac:dyDescent="0.3">
      <c r="BH46" s="7"/>
      <c r="BS46" s="45"/>
      <c r="BT46" s="1"/>
      <c r="DB46" s="45"/>
      <c r="DC46" s="1"/>
      <c r="EL46" s="45"/>
      <c r="EM46" s="1"/>
      <c r="GI46" s="46"/>
      <c r="GJ46" s="1"/>
      <c r="IK46" s="46"/>
      <c r="IL46" s="1"/>
      <c r="LX46" s="36"/>
      <c r="NV46" s="36"/>
    </row>
    <row r="47" spans="1:431" x14ac:dyDescent="0.3">
      <c r="BS47" s="45"/>
      <c r="BT47" s="1"/>
      <c r="DB47" s="45"/>
      <c r="DC47" s="1"/>
      <c r="EL47" s="45"/>
      <c r="EM47" s="1"/>
      <c r="GI47" s="45"/>
      <c r="GJ47" s="1"/>
      <c r="IK47" s="45"/>
      <c r="IL47" s="1"/>
    </row>
    <row r="48" spans="1:431" x14ac:dyDescent="0.3">
      <c r="GI48" s="45"/>
      <c r="GJ48" s="1"/>
    </row>
    <row r="51" spans="71:200" x14ac:dyDescent="0.3">
      <c r="BS51" s="45"/>
      <c r="BT51" s="1"/>
      <c r="DB51" s="45"/>
      <c r="DC51" s="1"/>
      <c r="EL51" s="45"/>
      <c r="EM51" s="1"/>
    </row>
    <row r="52" spans="71:200" x14ac:dyDescent="0.3">
      <c r="BS52" s="46"/>
      <c r="BT52" s="1"/>
      <c r="DB52" s="46"/>
      <c r="DC52" s="1"/>
      <c r="EL52" s="46"/>
      <c r="EM52" s="1"/>
      <c r="GI52" s="45"/>
      <c r="GJ52" s="1"/>
    </row>
    <row r="53" spans="71:200" x14ac:dyDescent="0.3">
      <c r="BS53" s="45"/>
      <c r="BT53" s="1"/>
      <c r="CA53" s="66"/>
      <c r="CB53" s="66"/>
      <c r="DB53" s="45"/>
      <c r="DC53" s="1"/>
      <c r="DJ53" s="65"/>
      <c r="EL53" s="45"/>
      <c r="EM53" s="1"/>
      <c r="ET53" s="66"/>
      <c r="EU53" s="66"/>
      <c r="GI53" s="46"/>
      <c r="GJ53" s="1"/>
    </row>
    <row r="54" spans="71:200" ht="27" thickBot="1" x14ac:dyDescent="0.35">
      <c r="BS54" s="45"/>
      <c r="BT54" s="1"/>
      <c r="CA54" s="33"/>
      <c r="CB54" s="47"/>
      <c r="DB54" s="45"/>
      <c r="DC54" s="1"/>
      <c r="DJ54" s="33"/>
      <c r="EL54" s="45"/>
      <c r="EM54" s="1"/>
      <c r="ET54" s="33"/>
      <c r="EU54" s="47"/>
      <c r="GI54" s="45"/>
      <c r="GJ54" s="1"/>
      <c r="GQ54" s="65"/>
      <c r="GR54" s="65"/>
    </row>
    <row r="55" spans="71:200" ht="27" thickTop="1" x14ac:dyDescent="0.3"/>
    <row r="59" spans="71:200" x14ac:dyDescent="0.3">
      <c r="BS59" s="45"/>
      <c r="BT59" s="1"/>
      <c r="DB59" s="45"/>
      <c r="DC59" s="1"/>
      <c r="EL59" s="45"/>
      <c r="EM59" s="1"/>
      <c r="GI59" s="45"/>
      <c r="GJ59" s="1"/>
    </row>
    <row r="60" spans="71:200" x14ac:dyDescent="0.3">
      <c r="BS60" s="46"/>
      <c r="BT60" s="1"/>
      <c r="DB60" s="46"/>
      <c r="DC60" s="1"/>
      <c r="EL60" s="46"/>
      <c r="EM60" s="1"/>
      <c r="GI60" s="46"/>
      <c r="GJ60" s="1"/>
    </row>
    <row r="61" spans="71:200" x14ac:dyDescent="0.3">
      <c r="BS61" s="45"/>
      <c r="BT61" s="1"/>
      <c r="DB61" s="45"/>
      <c r="DC61" s="1"/>
      <c r="EL61" s="45"/>
      <c r="EM61" s="1"/>
      <c r="GI61" s="45"/>
      <c r="GJ61" s="1"/>
    </row>
    <row r="62" spans="71:200" x14ac:dyDescent="0.3">
      <c r="BS62" s="45"/>
      <c r="BT62" s="1"/>
      <c r="DB62" s="45"/>
      <c r="DC62" s="1"/>
      <c r="EL62" s="45"/>
      <c r="EM62" s="1"/>
      <c r="GI62" s="45"/>
      <c r="GJ62" s="1"/>
    </row>
  </sheetData>
  <autoFilter ref="LL1:LP35" xr:uid="{00000000-0001-0000-0000-000000000000}"/>
  <mergeCells count="2">
    <mergeCell ref="CA53:CB53"/>
    <mergeCell ref="ET53:EU53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1768-D265-6440-8F27-4A657AAA7F47}">
  <dimension ref="A3:U5"/>
  <sheetViews>
    <sheetView tabSelected="1" topLeftCell="H1" zoomScaleNormal="100" zoomScaleSheetLayoutView="100" workbookViewId="0">
      <selection activeCell="K25" sqref="K25"/>
    </sheetView>
  </sheetViews>
  <sheetFormatPr baseColWidth="10" defaultColWidth="8.83203125" defaultRowHeight="24" x14ac:dyDescent="0.3"/>
  <cols>
    <col min="1" max="1" width="19.5" style="56" bestFit="1" customWidth="1"/>
    <col min="2" max="2" width="8.83203125" style="56"/>
    <col min="3" max="3" width="21" style="56" bestFit="1" customWidth="1"/>
    <col min="4" max="4" width="8.83203125" style="56"/>
    <col min="5" max="5" width="14" style="56" bestFit="1" customWidth="1"/>
    <col min="6" max="6" width="8.83203125" style="56"/>
    <col min="7" max="7" width="14" style="56" bestFit="1" customWidth="1"/>
    <col min="8" max="8" width="8.83203125" style="56"/>
    <col min="9" max="9" width="15.5" style="56" bestFit="1" customWidth="1"/>
    <col min="10" max="10" width="8.83203125" style="56"/>
    <col min="11" max="11" width="14" style="56" bestFit="1" customWidth="1"/>
    <col min="12" max="12" width="8.83203125" style="56"/>
    <col min="13" max="13" width="15.5" style="56" bestFit="1" customWidth="1"/>
    <col min="14" max="14" width="8.83203125" style="56"/>
    <col min="15" max="15" width="15.5" style="56" bestFit="1" customWidth="1"/>
    <col min="16" max="16" width="8.83203125" style="56"/>
    <col min="17" max="17" width="14" style="56" bestFit="1" customWidth="1"/>
    <col min="19" max="19" width="15.5" bestFit="1" customWidth="1"/>
  </cols>
  <sheetData>
    <row r="3" spans="1:21" s="58" customFormat="1" ht="29" x14ac:dyDescent="0.35">
      <c r="A3" s="57">
        <v>2016</v>
      </c>
      <c r="B3" s="57"/>
      <c r="C3" s="57">
        <v>2017</v>
      </c>
      <c r="D3" s="57"/>
      <c r="E3" s="57">
        <v>2018</v>
      </c>
      <c r="F3" s="57"/>
      <c r="G3" s="57">
        <v>2019</v>
      </c>
      <c r="H3" s="57"/>
      <c r="I3" s="57">
        <v>2020</v>
      </c>
      <c r="J3" s="57"/>
      <c r="K3" s="57">
        <v>2021</v>
      </c>
      <c r="L3" s="57"/>
      <c r="M3" s="57">
        <v>2022</v>
      </c>
      <c r="N3" s="57"/>
      <c r="O3" s="57">
        <v>2023</v>
      </c>
      <c r="P3" s="57"/>
      <c r="Q3" s="57">
        <v>2024</v>
      </c>
      <c r="S3" s="58">
        <v>2025</v>
      </c>
      <c r="U3" s="58">
        <v>2026</v>
      </c>
    </row>
    <row r="5" spans="1:21" s="60" customFormat="1" x14ac:dyDescent="0.3">
      <c r="A5" s="59">
        <v>2245</v>
      </c>
      <c r="B5" s="59"/>
      <c r="C5" s="59">
        <v>19076</v>
      </c>
      <c r="D5" s="59"/>
      <c r="E5" s="59">
        <v>39669</v>
      </c>
      <c r="F5" s="59"/>
      <c r="G5" s="59">
        <v>59693</v>
      </c>
      <c r="H5" s="59"/>
      <c r="I5" s="59">
        <v>117399</v>
      </c>
      <c r="J5" s="59"/>
      <c r="K5" s="59">
        <v>60672</v>
      </c>
      <c r="L5" s="59"/>
      <c r="M5" s="59">
        <v>160964</v>
      </c>
      <c r="N5" s="59"/>
      <c r="O5" s="59">
        <v>138035</v>
      </c>
      <c r="P5" s="59"/>
      <c r="Q5" s="59">
        <v>93876</v>
      </c>
      <c r="S5" s="60">
        <f>Chiffres!MC1+Chiffres!MJ1+Chiffres!MP1+Chiffres!MU1+Chiffres!NB1+Chiffres!NH1+Chiffres!NN1+Chiffres!NT1</f>
        <v>172779.5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Chiffres</vt:lpstr>
      <vt:lpstr>COMPARATIF Saisons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de Microsoft Office</dc:creator>
  <cp:keywords/>
  <dc:description/>
  <cp:lastModifiedBy>Pascal Bouchoucha</cp:lastModifiedBy>
  <cp:revision/>
  <dcterms:created xsi:type="dcterms:W3CDTF">2016-07-27T10:52:33Z</dcterms:created>
  <dcterms:modified xsi:type="dcterms:W3CDTF">2026-05-24T00:53:33Z</dcterms:modified>
  <cp:category/>
  <cp:contentStatus/>
</cp:coreProperties>
</file>